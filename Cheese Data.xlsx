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Chella\Desktop\"/>
    </mc:Choice>
  </mc:AlternateContent>
  <xr:revisionPtr revIDLastSave="0" documentId="8_{B8075302-B04C-49E4-BCC2-A487D3925DCF}" xr6:coauthVersionLast="47" xr6:coauthVersionMax="47" xr10:uidLastSave="{00000000-0000-0000-0000-000000000000}"/>
  <bookViews>
    <workbookView xWindow="-120" yWindow="-120" windowWidth="20730" windowHeight="11760" xr2:uid="{D56F7DE0-A0D6-4D10-8B89-524364232710}"/>
  </bookViews>
  <sheets>
    <sheet name="Dashboard" sheetId="10" r:id="rId1"/>
    <sheet name="Moisture Percent" sheetId="3" r:id="rId2"/>
    <sheet name="Top 3 Most Milk Used Type" sheetId="4" r:id="rId3"/>
    <sheet name="Top 3 Most Cheese by Province" sheetId="5" r:id="rId4"/>
    <sheet name="Average of Moisture" sheetId="6" r:id="rId5"/>
    <sheet name="Candian Map  By Province" sheetId="8" r:id="rId6"/>
    <sheet name="cheese_data" sheetId="2" r:id="rId7"/>
  </sheets>
  <definedNames>
    <definedName name="_xlchart.v5.0" hidden="1">'Candian Map  By Province'!$A$3</definedName>
    <definedName name="_xlchart.v5.1" hidden="1">'Candian Map  By Province'!$A$4:$A$13</definedName>
    <definedName name="_xlchart.v5.2" hidden="1">'Candian Map  By Province'!$B$3</definedName>
    <definedName name="_xlchart.v5.3" hidden="1">'Candian Map  By Province'!$B$4:$B$13</definedName>
    <definedName name="ExternalData_1" localSheetId="6" hidden="1">'cheese_data'!$A$1:$N$1043</definedName>
    <definedName name="Slicer_FatLevel">#N/A</definedName>
    <definedName name="Slicer_ManufacturingTypeEn">#N/A</definedName>
    <definedName name="Slicer_Organic">#N/A</definedName>
    <definedName name="Slicer_RindTypeE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D1044" i="2"/>
  <c r="B1044" i="2"/>
  <c r="E1044" i="2"/>
  <c r="F1044" i="2"/>
  <c r="G1044" i="2"/>
  <c r="H1044" i="2"/>
  <c r="I1044" i="2"/>
  <c r="J1044" i="2"/>
  <c r="K1044" i="2"/>
  <c r="L1044" i="2"/>
  <c r="M1044" i="2"/>
  <c r="N1044" i="2"/>
  <c r="A1044" i="2"/>
  <c r="C104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9DB349-268B-463E-AC85-56F8E0EBF79F}" keepAlive="1" name="Query - cheese_data" description="Connection to the 'cheese_data' query in the workbook." type="5" refreshedVersion="8" background="1" saveData="1">
    <dbPr connection="Provider=Microsoft.Mashup.OleDb.1;Data Source=$Workbook$;Location=cheese_data;Extended Properties=&quot;&quot;" command="SELECT * FROM [cheese_data]"/>
  </connection>
</connections>
</file>

<file path=xl/sharedStrings.xml><?xml version="1.0" encoding="utf-8"?>
<sst xmlns="http://schemas.openxmlformats.org/spreadsheetml/2006/main" count="12578" uniqueCount="2292">
  <si>
    <t>CheeseId</t>
  </si>
  <si>
    <t>ManufacturerProvCode</t>
  </si>
  <si>
    <t>ManufacturingTypeEn</t>
  </si>
  <si>
    <t>MoisturePercent</t>
  </si>
  <si>
    <t>FlavourEn</t>
  </si>
  <si>
    <t>CharacteristicsEn</t>
  </si>
  <si>
    <t>Organic</t>
  </si>
  <si>
    <t>CategoryTypeEn</t>
  </si>
  <si>
    <t>MilkTypeEn</t>
  </si>
  <si>
    <t>MilkTreatmentTypeEn</t>
  </si>
  <si>
    <t>RindTypeEn</t>
  </si>
  <si>
    <t>CheeseName</t>
  </si>
  <si>
    <t>FatLevel</t>
  </si>
  <si>
    <t>NB</t>
  </si>
  <si>
    <t>Farmstead</t>
  </si>
  <si>
    <t>Sharp, lactic</t>
  </si>
  <si>
    <t>Uncooked</t>
  </si>
  <si>
    <t>Firm Cheese</t>
  </si>
  <si>
    <t>Ewe</t>
  </si>
  <si>
    <t>Raw Milk</t>
  </si>
  <si>
    <t>Washed Rind</t>
  </si>
  <si>
    <t>Sieur de Duplessis (Le)</t>
  </si>
  <si>
    <t>lower fat</t>
  </si>
  <si>
    <t>Sharp, lactic, lightly caramelized</t>
  </si>
  <si>
    <t>Semi-soft Cheese</t>
  </si>
  <si>
    <t>Cow</t>
  </si>
  <si>
    <t>Tomme Le Champ Doré</t>
  </si>
  <si>
    <t>ON</t>
  </si>
  <si>
    <t>Industrial</t>
  </si>
  <si>
    <t>Mild, tangy, and fruity</t>
  </si>
  <si>
    <t>Pressed and cooked cheese, pasta filata, interiror ripened</t>
  </si>
  <si>
    <t>Pasteurized</t>
  </si>
  <si>
    <t/>
  </si>
  <si>
    <t>Provolone Sette Fette (Tre-Stelle)</t>
  </si>
  <si>
    <t>Sharp with fruity notes and a hint of wild honey</t>
  </si>
  <si>
    <t>Veined Cheeses</t>
  </si>
  <si>
    <t>Geai Bleu (Le)</t>
  </si>
  <si>
    <t>Softer taste</t>
  </si>
  <si>
    <t>Gamin (Le)</t>
  </si>
  <si>
    <t>Classic fresh cooking cheeses</t>
  </si>
  <si>
    <t>Fresh Cheese</t>
  </si>
  <si>
    <t>Paneer (Northumberland Co-operative)</t>
  </si>
  <si>
    <t>Rich, creamy, buttery, both subtle and tangy in taste</t>
  </si>
  <si>
    <t>Soft Cheese</t>
  </si>
  <si>
    <t>Goat</t>
  </si>
  <si>
    <t>Bloomy Rind</t>
  </si>
  <si>
    <t>Goat Brie (Woolwich)</t>
  </si>
  <si>
    <t>Mild</t>
  </si>
  <si>
    <t>Whitem, smooth, firm textured</t>
  </si>
  <si>
    <t>Goat Cheddar (Woolwich)</t>
  </si>
  <si>
    <t>Goat Mozarella (Woolwich)</t>
  </si>
  <si>
    <t>Sharp, tangy, salty</t>
  </si>
  <si>
    <t>With or without brine</t>
  </si>
  <si>
    <t>Goat Feta (Woolwich)</t>
  </si>
  <si>
    <t>Rich and creamy</t>
  </si>
  <si>
    <t>Fresh cheese</t>
  </si>
  <si>
    <t>Madame Chèvre Elite</t>
  </si>
  <si>
    <t>BC</t>
  </si>
  <si>
    <t>Organic. Made with Jersey Milk as such very rich, creamy and pleasing colour</t>
  </si>
  <si>
    <t>Gouda (Jerseyland Organic)</t>
  </si>
  <si>
    <t>higher fat</t>
  </si>
  <si>
    <t>Organic. No dye/colour added.  Made from Jersey Milk</t>
  </si>
  <si>
    <t>Cheddar (Jerseyland Organic)</t>
  </si>
  <si>
    <t>Organic. Our grana's are Parmesan and Asiago; these are from our own Jersey milk. No colouring added</t>
  </si>
  <si>
    <t>Hard Cheese</t>
  </si>
  <si>
    <t>Grana (Jerseyland Organic)</t>
  </si>
  <si>
    <t>Creamy and rich tasting.  Creamy in colour due to the carotene in Jersey milk</t>
  </si>
  <si>
    <t>Organic. Made with Jersey milk</t>
  </si>
  <si>
    <t>Feta (Jerseyland Organic)</t>
  </si>
  <si>
    <t>Available : Plain , garlic and dill, mixed herbs</t>
  </si>
  <si>
    <t>Udderly Organic Goat Gouda (Jerseyland Organic)</t>
  </si>
  <si>
    <t>Available : Plain,  sundried tomato and herbs</t>
  </si>
  <si>
    <t>Udderly Organic Goat Feta (Jerseyland Organic)</t>
  </si>
  <si>
    <t>Artisan</t>
  </si>
  <si>
    <t>Spiked with a slightly warm, premium, cracked black pepper</t>
  </si>
  <si>
    <t>Ripened, creamy cheese</t>
  </si>
  <si>
    <t>Cracked Pepper Verdelait</t>
  </si>
  <si>
    <t>Mild flavour of sweet butter and a delicate, smokey, exotic, lemony finish</t>
  </si>
  <si>
    <t>Cumin Verdelait</t>
  </si>
  <si>
    <t>Flavourful blend of garlic and chives</t>
  </si>
  <si>
    <t>Garlic and Chive Verdelait</t>
  </si>
  <si>
    <t>Ginger, garlic and local organic wasabi.</t>
  </si>
  <si>
    <t>Wasabi Verdelait</t>
  </si>
  <si>
    <t>Creamy with a note of mushroom</t>
  </si>
  <si>
    <t>Ripened,</t>
  </si>
  <si>
    <t>Comox Camembert</t>
  </si>
  <si>
    <t>Mild to sharp with light smoky flavour Also available with Omega 3</t>
  </si>
  <si>
    <t>Supple and smooth with a golden-yellow waxed rind</t>
  </si>
  <si>
    <t>Provolone (Silani)</t>
  </si>
  <si>
    <t>Milky Also available with Omega 3</t>
  </si>
  <si>
    <t>Granular, creamy and soft in texture</t>
  </si>
  <si>
    <t>No Rind</t>
  </si>
  <si>
    <t>Ricotta (Silani)</t>
  </si>
  <si>
    <t>AB</t>
  </si>
  <si>
    <t>Basil, black pepper, black pepper and garlic, cumin, dill, fenugreek, friesian cloves, green peppercorn, greeen peppecorn with cayenne, italian herbs</t>
  </si>
  <si>
    <t>Mild, medium, aged</t>
  </si>
  <si>
    <t>Gouda (Sylvan Star Ltd.)</t>
  </si>
  <si>
    <t>Mild and sweet, nutty and buttery flavour.</t>
  </si>
  <si>
    <t>Made from Guernsey milk.</t>
  </si>
  <si>
    <t>Niagara Gold</t>
  </si>
  <si>
    <t>Cheddar (Balderson)</t>
  </si>
  <si>
    <t>Five peppers, garlic, dill, chives, fine herbs and tomato, apple etc</t>
  </si>
  <si>
    <t>Curds, mild, medium, old, extra old, extra old 5 years.</t>
  </si>
  <si>
    <t>Cheddars (Fromagerie St-Albert)</t>
  </si>
  <si>
    <t>NS</t>
  </si>
  <si>
    <t>Mild, medium, old, caraway, cumin, cumin and cloves, fines herbs, garlic, pepper mix, smoked.</t>
  </si>
  <si>
    <t>Natural rind, shaped into wheels, smooth</t>
  </si>
  <si>
    <t>Thermised</t>
  </si>
  <si>
    <t>Gouda (That Dutchman's Farm)</t>
  </si>
  <si>
    <t>Delicate, a bit spicy.</t>
  </si>
  <si>
    <t>Blue cheese dipped in black wax</t>
  </si>
  <si>
    <t>Dragon's Breath</t>
  </si>
  <si>
    <t>Feta (Black Diamond)</t>
  </si>
  <si>
    <t>Mild tangy taste</t>
  </si>
  <si>
    <t>Creamy</t>
  </si>
  <si>
    <t>Brebis frais (Best Baa Dairy)</t>
  </si>
  <si>
    <t>Creamy, covered with a green wax</t>
  </si>
  <si>
    <t>Eweda cru (Best Baa Dairy)</t>
  </si>
  <si>
    <t>White rind, creamier than camembert</t>
  </si>
  <si>
    <t>Ramembert (Best Baa Dairy)</t>
  </si>
  <si>
    <t>Feta (Best Baa Dairy)</t>
  </si>
  <si>
    <t>Mild, medium, extra-old, 4 and 5 year-old</t>
  </si>
  <si>
    <t>White and orange</t>
  </si>
  <si>
    <t>Cheddar (Bright Brand)</t>
  </si>
  <si>
    <t>Eweda (Best Baa Dairy)</t>
  </si>
  <si>
    <t>Mouton rouge (Best Baa Dairy)</t>
  </si>
  <si>
    <t>Brigitte (Best Baa Dairy)</t>
  </si>
  <si>
    <t>Mozzarella (Farmers Cooporative Dairies)</t>
  </si>
  <si>
    <t>White truffles</t>
  </si>
  <si>
    <t>Okanagan Double Cream Camembert</t>
  </si>
  <si>
    <t>Intense Blue Flavour</t>
  </si>
  <si>
    <t>Tiger Blue</t>
  </si>
  <si>
    <t>Naramata Bench Blue</t>
  </si>
  <si>
    <t>Harvest Moon</t>
  </si>
  <si>
    <t>Swiss (Village Cheese)</t>
  </si>
  <si>
    <t>Havarti (Village Cheese)</t>
  </si>
  <si>
    <t>Edam (Village Cheese)</t>
  </si>
  <si>
    <t>Parmesan (Village Cheese)</t>
  </si>
  <si>
    <t>Monterey Jack (Village Cheese)</t>
  </si>
  <si>
    <t>Swiss Alpine Meadow (Village Cheese)</t>
  </si>
  <si>
    <t>Mozzarella (Village Cheese)</t>
  </si>
  <si>
    <t>Gouda (Village Cheese)</t>
  </si>
  <si>
    <t>Brick (Village Cheese)</t>
  </si>
  <si>
    <t>Delicate, sweet and nutty flavour</t>
  </si>
  <si>
    <t>Asiago (Tre Stelle)</t>
  </si>
  <si>
    <t>Buttery taste.</t>
  </si>
  <si>
    <t>Château Versailles Brie (Tre Stelle)</t>
  </si>
  <si>
    <t>MB</t>
  </si>
  <si>
    <t>Cheddar (Bothwell)</t>
  </si>
  <si>
    <t>Sweet and slightly nutty taste</t>
  </si>
  <si>
    <t>Buttery texture</t>
  </si>
  <si>
    <t>Swiss (Bothwell)</t>
  </si>
  <si>
    <t>Salty and sweet with a mild, nutty taste</t>
  </si>
  <si>
    <t>Also manufactures a Smoked Gouda</t>
  </si>
  <si>
    <t>Gouda (Bothwell)</t>
  </si>
  <si>
    <t>Mild, sweet and slightly nutty taste</t>
  </si>
  <si>
    <t>Also available the "Jalapeno Pepper Jack"</t>
  </si>
  <si>
    <t>Monterey Jack (Bothwell)</t>
  </si>
  <si>
    <t>NL</t>
  </si>
  <si>
    <t>Old, Medium, Mild, Marble and Old White Cheddars</t>
  </si>
  <si>
    <t>Cheddars (Central Dairies)</t>
  </si>
  <si>
    <t>San Pareil</t>
  </si>
  <si>
    <t>Welsh-style cheese</t>
  </si>
  <si>
    <t>Caerphilly</t>
  </si>
  <si>
    <t>Mild tasting</t>
  </si>
  <si>
    <t>Artisan Cheese</t>
  </si>
  <si>
    <t>Monterey Jill</t>
  </si>
  <si>
    <t>Onions, garlic, papika and sweet red pepper flakes.</t>
  </si>
  <si>
    <t>Artisinal cheese</t>
  </si>
  <si>
    <t>Qualicum Spice</t>
  </si>
  <si>
    <t>Plain or marinated in oil, garlic, sun-dried tomatoes and rosemary</t>
  </si>
  <si>
    <t>Little Qualicum Feta</t>
  </si>
  <si>
    <t>Artisanal cheese</t>
  </si>
  <si>
    <t>Raclette (Little Qualicum)</t>
  </si>
  <si>
    <t>Hints of roasted nuts</t>
  </si>
  <si>
    <t>Artisan Swiss-style Cheese</t>
  </si>
  <si>
    <t>Rathtrevor</t>
  </si>
  <si>
    <t>Gentle flavour with a creamy buttery taste</t>
  </si>
  <si>
    <t>Comox Brie</t>
  </si>
  <si>
    <t>Delicate note of mushroom</t>
  </si>
  <si>
    <t>Triple Cream Camembert</t>
  </si>
  <si>
    <t>Sweet buttery flavour with a mellow taste of herbs.  Nutty overtones with a tangy finish.</t>
  </si>
  <si>
    <t>Amsterdammer</t>
  </si>
  <si>
    <t>Boerenkaas</t>
  </si>
  <si>
    <t>Bold fruity rich-tasting cheese.</t>
  </si>
  <si>
    <t>Blend of Irish Derby and Italian-style Asiago.</t>
  </si>
  <si>
    <t>La Scala</t>
  </si>
  <si>
    <t>A mix of habanero and black pepper.</t>
  </si>
  <si>
    <t>Pacific Pepper Verderlait</t>
  </si>
  <si>
    <t>Spicy with cloves and cumin.</t>
  </si>
  <si>
    <t>Winterlude Spice Verderlait</t>
  </si>
  <si>
    <t>Mushroom overtones</t>
  </si>
  <si>
    <t>Velvety white rind</t>
  </si>
  <si>
    <t>Island Bries</t>
  </si>
  <si>
    <t>Soft, delicate and mild buttery flavour.</t>
  </si>
  <si>
    <t>Smooth ultra-creamy texture</t>
  </si>
  <si>
    <t>Mascarpone (Silani)</t>
  </si>
  <si>
    <t>Low in fat</t>
  </si>
  <si>
    <t>Élan (L') (Fromagerie St-Albert)</t>
  </si>
  <si>
    <t>Refreshing</t>
  </si>
  <si>
    <t>Mild, refreshing, with a smooth  texture.</t>
  </si>
  <si>
    <t>Bocconcini (Tre Stelle)</t>
  </si>
  <si>
    <t>Mild flavor of brie</t>
  </si>
  <si>
    <t>Smooth</t>
  </si>
  <si>
    <t>Borgonzola (Tre Stelle)</t>
  </si>
  <si>
    <t>Milder, milky and sweet acidulous edge</t>
  </si>
  <si>
    <t>Brick (Tre Stelle)</t>
  </si>
  <si>
    <t>Salty and tangy</t>
  </si>
  <si>
    <t>Feta (Tre Stelle)</t>
  </si>
  <si>
    <t>Buttery with a lightly acidulous taste</t>
  </si>
  <si>
    <t>Smooth texture</t>
  </si>
  <si>
    <t>Havarti (Dofino)</t>
  </si>
  <si>
    <t>Triple cream, rich, smooth texture</t>
  </si>
  <si>
    <t>Mascarpone (Tre Stelle)</t>
  </si>
  <si>
    <t>Available in Mozzarella - 20% milk fat, 25% milk fat, 16% milk fat, sliced</t>
  </si>
  <si>
    <t>Mozzarella (Tre Stelle)</t>
  </si>
  <si>
    <t>Rich, fruity and nutty taste.</t>
  </si>
  <si>
    <t>Parmesan (Tre Stelle)</t>
  </si>
  <si>
    <t>Aged Sheep Milk Cheese</t>
  </si>
  <si>
    <t>Rich with a sweet caramel finish</t>
  </si>
  <si>
    <t>Also available: mild, medium, light and in many flavours.</t>
  </si>
  <si>
    <t>Extra Aged Gouda (Gort's Gouda)</t>
  </si>
  <si>
    <t>Nutty flavour</t>
  </si>
  <si>
    <t>Maasdammer</t>
  </si>
  <si>
    <t>medium and marble</t>
  </si>
  <si>
    <t>Contains probiotics</t>
  </si>
  <si>
    <t>Kraft LiveActive</t>
  </si>
  <si>
    <t>Balkan, middle eastern flavoured cheese</t>
  </si>
  <si>
    <t>Rich Flavour, similar to "kaymak" or "Lebene", Balkan, middle eastern flavoured cheese</t>
  </si>
  <si>
    <t>Creamy Feta (Triple A Cheese)</t>
  </si>
  <si>
    <t>Slightly salty</t>
  </si>
  <si>
    <t>Cured in brine</t>
  </si>
  <si>
    <t>Cow and Goat</t>
  </si>
  <si>
    <t>Vlahos Feta</t>
  </si>
  <si>
    <t>Ewe and Cow</t>
  </si>
  <si>
    <t>Kefalotri / Saganaki</t>
  </si>
  <si>
    <t>Mild to strong nutty and salty flavour</t>
  </si>
  <si>
    <t>50-50 Blend of shredded parmesan and romano cheeses</t>
  </si>
  <si>
    <t>Shredded Parmesan with Romano Cheese</t>
  </si>
  <si>
    <t>Burrino (Salerno)</t>
  </si>
  <si>
    <t>Similiar to Provolone</t>
  </si>
  <si>
    <t>Gourd-shaped similar to Caciocavallo</t>
  </si>
  <si>
    <t>Scamorza (Salerno)</t>
  </si>
  <si>
    <t>mildly tangy and fruity</t>
  </si>
  <si>
    <t>Provolone (Tre Stelle)</t>
  </si>
  <si>
    <t>Milky, smooth and creamy</t>
  </si>
  <si>
    <t>Ricotta (Tre Stelle)</t>
  </si>
  <si>
    <t>Plain, with garlic/parsley, lemon/pepper or with chanterelle or porcini. Very mild taste.</t>
  </si>
  <si>
    <t>Very creamy texture</t>
  </si>
  <si>
    <t>Okanagan Goat Cheese</t>
  </si>
  <si>
    <t>Available with basil and tomato, garlic and oregano</t>
  </si>
  <si>
    <t>Feta (Gort's Gouda)</t>
  </si>
  <si>
    <t>Very sharp</t>
  </si>
  <si>
    <t>Extra firm, white cheese</t>
  </si>
  <si>
    <t>Cheddar (Thornloe)</t>
  </si>
  <si>
    <t>Also available: "Fior de Latte", "Fior de Latte Treccia", in block or ball shape.</t>
  </si>
  <si>
    <t>Mozzarella (International Cheese)</t>
  </si>
  <si>
    <t>Also available: Pignata</t>
  </si>
  <si>
    <t>Santa Lucia Provolone (International Cheese)</t>
  </si>
  <si>
    <t>Ricotta (International Cheese)</t>
  </si>
  <si>
    <t>Scamorza (International Cheese)</t>
  </si>
  <si>
    <t>A smooth, luxurious texture reminiscent of baked custard, rennet free</t>
  </si>
  <si>
    <t>St.John's Cow (Portuguese)</t>
  </si>
  <si>
    <t>A soft, yogurt-like texture, delicate curd and sweet milk flavour</t>
  </si>
  <si>
    <t>St. John's Goat (Portuguese)</t>
  </si>
  <si>
    <t>Sharp flavour</t>
  </si>
  <si>
    <t>Dry and smooth texture.</t>
  </si>
  <si>
    <t>Corvo Semi-Soft Cheese (Portuguese)</t>
  </si>
  <si>
    <t>hint of sourness</t>
  </si>
  <si>
    <t>Creamy texture</t>
  </si>
  <si>
    <t>Sao Miguel</t>
  </si>
  <si>
    <t>almost sweet</t>
  </si>
  <si>
    <t>Graciosa Semi-Soft Goat Cheese (Portuguese)</t>
  </si>
  <si>
    <t>Mild with slightly salty taste</t>
  </si>
  <si>
    <t>Serra  (Portuguese Cheese Company)</t>
  </si>
  <si>
    <t>Tangy</t>
  </si>
  <si>
    <t>Golden yellow</t>
  </si>
  <si>
    <t>Vaquinha  (Portuguese)</t>
  </si>
  <si>
    <t>Mild, bittersweet taste</t>
  </si>
  <si>
    <t>Soft, white cheese</t>
  </si>
  <si>
    <t>Swiss (Thornloe)</t>
  </si>
  <si>
    <t>Light and milk with a fresh butter taste</t>
  </si>
  <si>
    <t>Rindless, smooth and gleaming surface yellow in color</t>
  </si>
  <si>
    <t>Colby (Thornloe)</t>
  </si>
  <si>
    <t>Also available:  Bocconcini Pearl et regular Bocconcini</t>
  </si>
  <si>
    <t>Mini Bocconcini (International Cheese)</t>
  </si>
  <si>
    <t>Cacciocavallo (International Cheese)</t>
  </si>
  <si>
    <t>Friulano (International Cheese)</t>
  </si>
  <si>
    <t>Bocconcini (Salerno)</t>
  </si>
  <si>
    <t>Tuma Cheese (Fresh Cheese)(Salerno)</t>
  </si>
  <si>
    <t>Mozzarella (Salerno)</t>
  </si>
  <si>
    <t>Mild cheese, becomes stronger with age</t>
  </si>
  <si>
    <t>Brick is a white to ivory rindless firm cheese with a springy texture.</t>
  </si>
  <si>
    <t>Brick (Salerno)</t>
  </si>
  <si>
    <t>Caciotta (Salerno)</t>
  </si>
  <si>
    <t>Taste is mild and tangy that intensifies with age</t>
  </si>
  <si>
    <t>Wheel-shaped with small ridges, yellow rind with an ivory interior</t>
  </si>
  <si>
    <t>Romanello (Salerno)</t>
  </si>
  <si>
    <t>Ricotta (Skotidakis)</t>
  </si>
  <si>
    <t>Ricotta is made from sweet whey</t>
  </si>
  <si>
    <t>Ricotta (Shepherd Gourmet)</t>
  </si>
  <si>
    <t>Krinos Sheep Feta (Shepherd Gourmet)</t>
  </si>
  <si>
    <t>Fresh Chèvre</t>
  </si>
  <si>
    <t>Mild and tangy (plain, fines herbs, peppercorn, roasted garlic)</t>
  </si>
  <si>
    <t>Smooth, creamy texture.</t>
  </si>
  <si>
    <t>Chevrai (Woolwich)</t>
  </si>
  <si>
    <t>Holmestead Feta</t>
  </si>
  <si>
    <t>Asiago (Ivanhoe Cheese)</t>
  </si>
  <si>
    <t>Parmesan (Ivanhoe)</t>
  </si>
  <si>
    <t>Romano (Ivanhoe)</t>
  </si>
  <si>
    <t>Plain or Smoked</t>
  </si>
  <si>
    <t>Gouda (Ivanhoe)</t>
  </si>
  <si>
    <t>Feta (Ivanhoe)</t>
  </si>
  <si>
    <t>PE</t>
  </si>
  <si>
    <t>mild, medium old, cumin, fenugreek, 4-pepper, garlic, herb and garlic, onion &amp; red pepper, pepper &amp; mustard, peppercorn, red chili pepper.</t>
  </si>
  <si>
    <t>Gouda (Cheeselady's)</t>
  </si>
  <si>
    <t>Mild, medium, old, extra-old, supreme ( 3 yr. Old), 4 year-old</t>
  </si>
  <si>
    <t>Cheddar (Empire Cheese)</t>
  </si>
  <si>
    <t>Goaty flavour</t>
  </si>
  <si>
    <t>White body</t>
  </si>
  <si>
    <t>Cheddar (Celebrity International)</t>
  </si>
  <si>
    <t>Sweet notes</t>
  </si>
  <si>
    <t>Creamy smooth</t>
  </si>
  <si>
    <t>Goat Lindsay Bandaged Cheddar (Celebrity International)</t>
  </si>
  <si>
    <t>Herbs and Garlic</t>
  </si>
  <si>
    <t>Marble</t>
  </si>
  <si>
    <t>Cheddar (Mornington Dairy)</t>
  </si>
  <si>
    <t>Flavour ranges from horseradish to citrus</t>
  </si>
  <si>
    <t>Hay colored, natural rind cheese</t>
  </si>
  <si>
    <t>Tomme de Gaston</t>
  </si>
  <si>
    <t>Cheddars (Black Diamond)</t>
  </si>
  <si>
    <t>Mild, slightly acidulous</t>
  </si>
  <si>
    <t>Interior-ripened, rindless, pale in colour</t>
  </si>
  <si>
    <t>Monterey Jack (Black Diamond)</t>
  </si>
  <si>
    <t>Bocconcini (Scardillo)</t>
  </si>
  <si>
    <t>Edam (Scardillo)</t>
  </si>
  <si>
    <t>Stilton-style blue cheese</t>
  </si>
  <si>
    <t>Blossom's Blue</t>
  </si>
  <si>
    <t>Pepper flavour</t>
  </si>
  <si>
    <t>Savoury Moon</t>
  </si>
  <si>
    <t>Strong</t>
  </si>
  <si>
    <t>Also made with raw milk.</t>
  </si>
  <si>
    <t>Beddis Blue</t>
  </si>
  <si>
    <t>milder than a camembert, stronger than a brie</t>
  </si>
  <si>
    <t>White Moon</t>
  </si>
  <si>
    <t>Will sweeten on the palate</t>
  </si>
  <si>
    <t>White Grace</t>
  </si>
  <si>
    <t>Sweet buttery blue</t>
  </si>
  <si>
    <t>Fresh blue cheese</t>
  </si>
  <si>
    <t>Baby Blue</t>
  </si>
  <si>
    <t>Ash-Ripened Camembert</t>
  </si>
  <si>
    <t>Buttery, nutty flavour</t>
  </si>
  <si>
    <t>Tomme d'Or (Moonstruck Organic)</t>
  </si>
  <si>
    <t>Farmers (Bothwell)</t>
  </si>
  <si>
    <t>QC</t>
  </si>
  <si>
    <t>Tomme du Kamouraska (La)</t>
  </si>
  <si>
    <t>Mild and lactic flavor with a touch of hazelnut.</t>
  </si>
  <si>
    <t>Smooth, firm, shiny and creamy texture. Cream-colored.</t>
  </si>
  <si>
    <t>Albani (L')</t>
  </si>
  <si>
    <t>Lactic and fruity</t>
  </si>
  <si>
    <t>Orange-colored washed rind sprinkled with white mold. Pressed and uncooked yellowy-creamy colored cheese. Smooth and supple texture. Shows small holes.</t>
  </si>
  <si>
    <t>Chant du Coq (Le)</t>
  </si>
  <si>
    <t>Flavors of cream, mushrooms and nuts</t>
  </si>
  <si>
    <t>Creamy to ivory-colored. Smooth and runny texture.</t>
  </si>
  <si>
    <t>François Paradis (Le)</t>
  </si>
  <si>
    <t>Cream, mushroom and almond aroma</t>
  </si>
  <si>
    <t>White and velvety rind. White to creamy-colored interior. Smooth and runny texture.</t>
  </si>
  <si>
    <t>Maria Chapdelaine (Le)</t>
  </si>
  <si>
    <t>Mild and lactic. Avalaible seasoned with garlic flower, dried tomatoes and basil, italian and provençal herbs</t>
  </si>
  <si>
    <t>Creamy colored cheddar with a firm, smooth and shiny texture</t>
  </si>
  <si>
    <t>Normandises (Les)</t>
  </si>
  <si>
    <t>Péribonka (Le)</t>
  </si>
  <si>
    <t>Hazelnut flavor</t>
  </si>
  <si>
    <t>Creamy texture, orange rind</t>
  </si>
  <si>
    <t>14 Arpents (Le)</t>
  </si>
  <si>
    <t>Fruity</t>
  </si>
  <si>
    <t>Cheddar aged under vacuum, unctuous texture</t>
  </si>
  <si>
    <t>Gédéon (Le)</t>
  </si>
  <si>
    <t>Mild, slightly sweet</t>
  </si>
  <si>
    <t>Mixt shiny rind</t>
  </si>
  <si>
    <t>Rang des Îles (Le)</t>
  </si>
  <si>
    <t>Woody</t>
  </si>
  <si>
    <t>Aged cheddar</t>
  </si>
  <si>
    <t>Petits Vieux (Les)</t>
  </si>
  <si>
    <t>Fresh creamy cheese</t>
  </si>
  <si>
    <t>Couventine (Le)</t>
  </si>
  <si>
    <t>Cheddar, curds or blocks</t>
  </si>
  <si>
    <t>Médard (Le)</t>
  </si>
  <si>
    <t>Mushroomy and buttery</t>
  </si>
  <si>
    <t>Sometimes a chalky center</t>
  </si>
  <si>
    <t>Brise des Vignerons (La)</t>
  </si>
  <si>
    <t>Fruity and hazelnutty</t>
  </si>
  <si>
    <t>Light yellow rind</t>
  </si>
  <si>
    <t>Zéphyr (Le)</t>
  </si>
  <si>
    <t>Hazelnut flavor. Available; mild, medium, strong and extra strong</t>
  </si>
  <si>
    <t>Creamy-colored</t>
  </si>
  <si>
    <t>Cheddar Beauceron</t>
  </si>
  <si>
    <t>Cheddar léger 6% (Fromagerie Gilbert)</t>
  </si>
  <si>
    <t>Cheddar léger 12% (Fromagerie Gilbert)</t>
  </si>
  <si>
    <t>Preserved in brine</t>
  </si>
  <si>
    <t>Torti-Beauceron</t>
  </si>
  <si>
    <t>Hazelnut flavor that intensifies with age</t>
  </si>
  <si>
    <t>Cream-colored cheese</t>
  </si>
  <si>
    <t>Cheddar Le Bourgadet doux</t>
  </si>
  <si>
    <t>Hazelnut flavor. Available aged 2 months, 6 months or 2 years</t>
  </si>
  <si>
    <t>Cheddar-type.  Cream-colored</t>
  </si>
  <si>
    <t>Rivière blanche</t>
  </si>
  <si>
    <t>Salty</t>
  </si>
  <si>
    <t>Stretched and twisted cheese</t>
  </si>
  <si>
    <t>Twist arménien</t>
  </si>
  <si>
    <t>Daily fresh, cheese curds or blocks</t>
  </si>
  <si>
    <t>Cheddar (Fromagerie Port-Joli)</t>
  </si>
  <si>
    <t>Hazelnut flavor that intensifies with age. Available; mild, medium, strong and extra strong</t>
  </si>
  <si>
    <t>Creamy-colored giving off a buttery aroma</t>
  </si>
  <si>
    <t>Cheddar Bio d'Antan</t>
  </si>
  <si>
    <t>Fresh cheese curds or blocks</t>
  </si>
  <si>
    <t>Cheddar La Chaudière</t>
  </si>
  <si>
    <t>Fruit and hazelnut flavors</t>
  </si>
  <si>
    <t>Pressed and not cooked  cheese</t>
  </si>
  <si>
    <t>Brushed Rind</t>
  </si>
  <si>
    <t>Blackburn (Le)</t>
  </si>
  <si>
    <t>Mild, milky flavor</t>
  </si>
  <si>
    <t>Not cooked cheese, interior-ripened</t>
  </si>
  <si>
    <t>Cabouron (Le)</t>
  </si>
  <si>
    <t>Slight buttery and nutty taste</t>
  </si>
  <si>
    <t>Pressed and uncooked cheese</t>
  </si>
  <si>
    <t>Cheddar Blackburn (Le)</t>
  </si>
  <si>
    <t>Pronounced with fruity aroma</t>
  </si>
  <si>
    <t>Interior-ripened</t>
  </si>
  <si>
    <t>Mont-Jacob (Le)</t>
  </si>
  <si>
    <t>Mild, fruity, leaves a spicy taste in mouth</t>
  </si>
  <si>
    <t>Cooked</t>
  </si>
  <si>
    <t>Napoléon (Le)</t>
  </si>
  <si>
    <t>Hazelnut flavour that intensifies with age</t>
  </si>
  <si>
    <t>Valida Doux (Le)</t>
  </si>
  <si>
    <t>Valida Moyen (Le)</t>
  </si>
  <si>
    <t>Valida Fort (Le)</t>
  </si>
  <si>
    <t>Cream and salted butter taste, hints of olive</t>
  </si>
  <si>
    <t>Camplain</t>
  </si>
  <si>
    <t>Clover and hay taste</t>
  </si>
  <si>
    <t>Copper-colored rind</t>
  </si>
  <si>
    <t>Réserve La Pérade</t>
  </si>
  <si>
    <t>Fruity, yellow, with acidic accent.</t>
  </si>
  <si>
    <t>Light rind, slightly sticky. Pink with orange tint.</t>
  </si>
  <si>
    <t>Baluchon</t>
  </si>
  <si>
    <t>Subtle flavor of fruits, butter, nuts and chestnuts</t>
  </si>
  <si>
    <t>Elastic and melting in the mouth, presence of small irregularly dispersed eyes in the cheese</t>
  </si>
  <si>
    <t>Blanche du Fjord (La)</t>
  </si>
  <si>
    <t>Slightly salted</t>
  </si>
  <si>
    <t>Roasting cheese</t>
  </si>
  <si>
    <t>Paillasson de l'Isle d'Orléans (Le)</t>
  </si>
  <si>
    <t>Curds : salted, fine herbs, BBQ or sea salt. Blocks: garlic and pepper, yellow, chocolate Grand Marnier with pears, marble, sharp, fine herbs, pesto</t>
  </si>
  <si>
    <t>Cheese curds or blocks</t>
  </si>
  <si>
    <t>Cheddar frais (Qualité Summum)</t>
  </si>
  <si>
    <t>Available; medium, strong, extra strong, in block, curds, BBQ</t>
  </si>
  <si>
    <t>Cheddar (Fromagerie Boivin)</t>
  </si>
  <si>
    <t>Petit Saguenéen (Le)</t>
  </si>
  <si>
    <t>Plain or BBQ</t>
  </si>
  <si>
    <t>Tortillons (Les) (Fromagerie Boivin)</t>
  </si>
  <si>
    <t>Cheddar sans sel (Fromagerie Boivin)</t>
  </si>
  <si>
    <t>Taste of butter and cooked cheese, slightly spicy</t>
  </si>
  <si>
    <t>Annobli</t>
  </si>
  <si>
    <t>Supple white cheese</t>
  </si>
  <si>
    <t>Monterey Jack (Fromagerie Boivin)</t>
  </si>
  <si>
    <t>Flavors of butter, cream, hazelnut and mushroom</t>
  </si>
  <si>
    <t>Chalky texture, soft cheese but not runny</t>
  </si>
  <si>
    <t>Champayeur (Le)</t>
  </si>
  <si>
    <t>Balanced salty taste</t>
  </si>
  <si>
    <t>Rind scattered with ochred spots</t>
  </si>
  <si>
    <t>Bleu d'Élizabeth (Le)</t>
  </si>
  <si>
    <t>Almond and hazelnutty taste</t>
  </si>
  <si>
    <t>Pink-orange-colored rind</t>
  </si>
  <si>
    <t>Curé-Hébert (Le)</t>
  </si>
  <si>
    <t>Almond and nutty taste</t>
  </si>
  <si>
    <t>Surface-ripened</t>
  </si>
  <si>
    <t>Cru du Canton (Le)</t>
  </si>
  <si>
    <t>Unripened, curds or blocks</t>
  </si>
  <si>
    <t>Cheddar L'Autre Versant</t>
  </si>
  <si>
    <t>Slight goaty taste counterbalanced with cow's milk taste</t>
  </si>
  <si>
    <t>Firm and cooked</t>
  </si>
  <si>
    <t>Grand 2 (Le)</t>
  </si>
  <si>
    <t>Slightly hazelnutty</t>
  </si>
  <si>
    <t>Amber-colored washed rind</t>
  </si>
  <si>
    <t>Grondines (Les)</t>
  </si>
  <si>
    <t>Elastic and smooth texture</t>
  </si>
  <si>
    <t>Cheddar Coaticook non salé</t>
  </si>
  <si>
    <t>Pungent and lively, slightly salted.  Available white, couloured, aged, curds</t>
  </si>
  <si>
    <t>Strong aroma, Smooth and supple texture</t>
  </si>
  <si>
    <t>Cheddar Coaticook</t>
  </si>
  <si>
    <t>Slightly salted milk flavor</t>
  </si>
  <si>
    <t>Compact</t>
  </si>
  <si>
    <t>Mozzarella (Coaticook)</t>
  </si>
  <si>
    <t>Firm texture, soaking in brine</t>
  </si>
  <si>
    <t>Saumuré Coaticook</t>
  </si>
  <si>
    <t>Hazelnut and salty flavour. Available mild and strong</t>
  </si>
  <si>
    <t>Unripened</t>
  </si>
  <si>
    <t>Capricook</t>
  </si>
  <si>
    <t>Creamy spreadable cheese</t>
  </si>
  <si>
    <t>Écume des Rapides (L')</t>
  </si>
  <si>
    <t>Firm cheese, cooked</t>
  </si>
  <si>
    <t>Doux du Fort (Le)</t>
  </si>
  <si>
    <t>Flavored with Michel Jodoin's apple Brandy</t>
  </si>
  <si>
    <t>Pompette (Le)</t>
  </si>
  <si>
    <t>Unripened cheese</t>
  </si>
  <si>
    <t>Amourettes - Tomates séchées et basilic</t>
  </si>
  <si>
    <t>Amourettes - Fines herbes</t>
  </si>
  <si>
    <t>Fresh</t>
  </si>
  <si>
    <t>Preserved in sunflower and olive oil</t>
  </si>
  <si>
    <t>Dames de Chambly</t>
  </si>
  <si>
    <t>Also seasoned with fine herbs</t>
  </si>
  <si>
    <t>Cheese curds (41% humidity) or blocks</t>
  </si>
  <si>
    <t>Cheddar frais (Fromagerie Victoria)</t>
  </si>
  <si>
    <t>Available plain or with olives</t>
  </si>
  <si>
    <t>Cheddar médium (Fromagerie Victoria)</t>
  </si>
  <si>
    <t>Pronounced</t>
  </si>
  <si>
    <t>Cheddar fort (Fromagerie Victoria)</t>
  </si>
  <si>
    <t>Twisted cheese</t>
  </si>
  <si>
    <t>Darac</t>
  </si>
  <si>
    <t>Caprine flavor slightly acid and salty</t>
  </si>
  <si>
    <t>Gouda type cheese with red waxed rind. Ivory-colored cheese with a crumbly texture.</t>
  </si>
  <si>
    <t>Athonite</t>
  </si>
  <si>
    <t>Butter and almond aftertaste</t>
  </si>
  <si>
    <t>Havarti type cheese covered with yellow wax. Ivory-colored cheese with small holes.</t>
  </si>
  <si>
    <t>Bon Berger</t>
  </si>
  <si>
    <t>Mild and salted with an almond and buttery aftertaste</t>
  </si>
  <si>
    <t>Damp and crumbly</t>
  </si>
  <si>
    <t>Ewe and Goat</t>
  </si>
  <si>
    <t>Féta (Troupeau Bénit)</t>
  </si>
  <si>
    <t>Mild, buttery and hazelnut flavour with a hint of fruits and salt</t>
  </si>
  <si>
    <t>Gruyere type cheese. Ivory-colored cheese with small holes irregularly dispersed.</t>
  </si>
  <si>
    <t>Graviera</t>
  </si>
  <si>
    <t>Available plain or seasoned with chives, provençal herbs, mint and peppers or onion</t>
  </si>
  <si>
    <t>Creamy and white cheese, ball-shaped</t>
  </si>
  <si>
    <t>Petites Soeurs (Les)</t>
  </si>
  <si>
    <t>Mild, slightly salty and acid with an almond and butter aftertaste. Seasoned with pepper and onions or with garden fine herbs</t>
  </si>
  <si>
    <t>Havarti-type cheese. Firm and crumbly texture. Ivory-colored. Covered with yellow wax.</t>
  </si>
  <si>
    <t>Symandre</t>
  </si>
  <si>
    <t>Available plain or seasoned with fine herbs or pepper</t>
  </si>
  <si>
    <t>Fresh goat cheese ladle-molded, fine and creamy texture good for spreading</t>
  </si>
  <si>
    <t>Alpin (L')</t>
  </si>
  <si>
    <t>Mild, with fine herbs</t>
  </si>
  <si>
    <t>Boules de neige (Les)</t>
  </si>
  <si>
    <t>Available in 6 different flavors : plain, five peppers, spicy pepper, fresh garlic, Provençal herbs and chives</t>
  </si>
  <si>
    <t>Lactic cheese</t>
  </si>
  <si>
    <t>Petit Pâturin (Le)</t>
  </si>
  <si>
    <t>Light butter, hazelnut and mushroom flavour with a caprine aftertaste</t>
  </si>
  <si>
    <t>White lactic soft cheese, chalky and creamy texture, natural rind (geotrichum)</t>
  </si>
  <si>
    <t>Ange Fourchu (L')</t>
  </si>
  <si>
    <t>Soft lactic cheese balls, soaked with a mix of oils and seasonings</t>
  </si>
  <si>
    <t>Grelotins à l'huile aromatisée</t>
  </si>
  <si>
    <t>Goat flavour</t>
  </si>
  <si>
    <t>Supple texture</t>
  </si>
  <si>
    <t>Chevalier de Lorimier</t>
  </si>
  <si>
    <t>Goat's cheese curds</t>
  </si>
  <si>
    <t>Fromage en grains la Chèvrerie Barrousse</t>
  </si>
  <si>
    <t>Spicy without being aggressive</t>
  </si>
  <si>
    <t>Natural or mixed rind. Rich and creamy texture.</t>
  </si>
  <si>
    <t>Clandestin (Le)</t>
  </si>
  <si>
    <t>Mushroomy</t>
  </si>
  <si>
    <t>Washed rind goat cheese, creamy texture</t>
  </si>
  <si>
    <t>Sentinelle</t>
  </si>
  <si>
    <t>Very spicy</t>
  </si>
  <si>
    <t>Cream-colored cheese with a smooth texture</t>
  </si>
  <si>
    <t>Magie de Madawaska</t>
  </si>
  <si>
    <t>Buttery</t>
  </si>
  <si>
    <t>Creamy and supple texture</t>
  </si>
  <si>
    <t>Marquis de Témiscouata</t>
  </si>
  <si>
    <t>Very Mild</t>
  </si>
  <si>
    <t>Supple and smooth texture, bloomy rind</t>
  </si>
  <si>
    <t>Dame du Lac (La)</t>
  </si>
  <si>
    <t>Acidulous and alcoholic</t>
  </si>
  <si>
    <t>Light yellowy color</t>
  </si>
  <si>
    <t>Petit Émile (Le)</t>
  </si>
  <si>
    <t>Slight mushroom taste</t>
  </si>
  <si>
    <t>Goat's Brie</t>
  </si>
  <si>
    <t>Citadelle</t>
  </si>
  <si>
    <t>Fresh and acidulous</t>
  </si>
  <si>
    <t>Ladle-molded</t>
  </si>
  <si>
    <t>Chèvre frais fermier</t>
  </si>
  <si>
    <t>Firm cheese, mixed rind</t>
  </si>
  <si>
    <t>Tire-Lune</t>
  </si>
  <si>
    <t>Creamy taste, slightly goaty</t>
  </si>
  <si>
    <t>Supple texture, mixed rind</t>
  </si>
  <si>
    <t>Galarneau</t>
  </si>
  <si>
    <t>Fresh buttery, mushrooms and hazelnut notes</t>
  </si>
  <si>
    <t>Supple and smooth cheese, creamy texture, white bloomy rind.</t>
  </si>
  <si>
    <t>Petit Brie DuVillage</t>
  </si>
  <si>
    <t>Fruity, mushrooms and hazelnut flavor</t>
  </si>
  <si>
    <t>Soft cheese with a hint of cream</t>
  </si>
  <si>
    <t>Double Crème DuVillage</t>
  </si>
  <si>
    <t>Heated milk and buttery flavor</t>
  </si>
  <si>
    <t>Coated with vegetable ash, creamy texture</t>
  </si>
  <si>
    <t>Cendré de Lune</t>
  </si>
  <si>
    <t>Acidulous, pungent hint of honey and flowers</t>
  </si>
  <si>
    <t>Fine toad-like rind, runny and creamy texture</t>
  </si>
  <si>
    <t>Évanjules (L')</t>
  </si>
  <si>
    <t>Slightly acidulous when young, develops a buttery and heated milk taste through ripening</t>
  </si>
  <si>
    <t>Pleine Lune (Le)</t>
  </si>
  <si>
    <t>Mild to sharp depending on the age</t>
  </si>
  <si>
    <t>White to beige-colored</t>
  </si>
  <si>
    <t>Fleur de Lys</t>
  </si>
  <si>
    <t>Subtle flowery and brioche aroma</t>
  </si>
  <si>
    <t>Rich and smooth texture</t>
  </si>
  <si>
    <t>Lady Laurier d'Arthabaska</t>
  </si>
  <si>
    <t>Intense and fruity taste, honey and flowery aftertaste</t>
  </si>
  <si>
    <t>Orange washed rind, rich and creamy texture</t>
  </si>
  <si>
    <t>Maître Jules</t>
  </si>
  <si>
    <t>Nutty and fresh butter taste</t>
  </si>
  <si>
    <t>Light beige color, soft and smooth texture</t>
  </si>
  <si>
    <t>Saint-Paulin DuVillage</t>
  </si>
  <si>
    <t>Fresh apples and nutty flavor with an acid hint</t>
  </si>
  <si>
    <t>Light yellow or copper-colored washed rind, creamy-colored interior with a smooth and supple texture</t>
  </si>
  <si>
    <t>Vacherin DuVillage</t>
  </si>
  <si>
    <t>Fruity and slightly nutty flavor</t>
  </si>
  <si>
    <t>Pressed and uncooked</t>
  </si>
  <si>
    <t>Mont Gleason</t>
  </si>
  <si>
    <t>Buttery taste</t>
  </si>
  <si>
    <t>Orange washed rind, creamy-colored interior, tender texture</t>
  </si>
  <si>
    <t>Raclette DuVillage</t>
  </si>
  <si>
    <t>Notes of cream, fresh farm milk and a hint of hazelnut</t>
  </si>
  <si>
    <t>Pressed surface ripened</t>
  </si>
  <si>
    <t>Cantonnier</t>
  </si>
  <si>
    <t>Mild and fruity with aroma of hazelnut and hay</t>
  </si>
  <si>
    <t>Surface ripened with washed rind, bears a horizontal strip of vegetable carbon</t>
  </si>
  <si>
    <t>Cendré (Le)</t>
  </si>
  <si>
    <t>Mild and fruity</t>
  </si>
  <si>
    <t>Surface ripened, edible orange rind</t>
  </si>
  <si>
    <t>Saint-Médard</t>
  </si>
  <si>
    <t>Emmental type cheese, no rind</t>
  </si>
  <si>
    <t>Kingsberg</t>
  </si>
  <si>
    <t>Creamy taste, exudes intense and expansive aroma</t>
  </si>
  <si>
    <t>Surface ripened, washed, shiny rind which is slightly wrinkled</t>
  </si>
  <si>
    <t>Sir Laurier d'Arthabaska</t>
  </si>
  <si>
    <t>Butter and cream flavor with a pungent hint</t>
  </si>
  <si>
    <t>Bloomy rind, creamy texture</t>
  </si>
  <si>
    <t>Triple Crème Du Village</t>
  </si>
  <si>
    <t>Creamy flavor, hazelnut and flowery hints</t>
  </si>
  <si>
    <t>Fully ripened, washed rind cheese</t>
  </si>
  <si>
    <t>Petit Rubis (Le)</t>
  </si>
  <si>
    <t>Creamy taste</t>
  </si>
  <si>
    <t>Brie cheese made with goat's milk, runny interior</t>
  </si>
  <si>
    <t>Chèbrie</t>
  </si>
  <si>
    <t>Rich and creamy taste</t>
  </si>
  <si>
    <t>Goat's soft cheese, ripened</t>
  </si>
  <si>
    <t>Princeville</t>
  </si>
  <si>
    <t>Ivory-colored cheese, surface-ripenend</t>
  </si>
  <si>
    <t>Tre Fratello</t>
  </si>
  <si>
    <t>Goat soft cheese, surface-ripened</t>
  </si>
  <si>
    <t>Castile</t>
  </si>
  <si>
    <t>Goat cheese, surface ripenened</t>
  </si>
  <si>
    <t>Capella</t>
  </si>
  <si>
    <t>Rich</t>
  </si>
  <si>
    <t>Surface-ripened, white mold</t>
  </si>
  <si>
    <t>Kunik</t>
  </si>
  <si>
    <t>Unctuous and velvety spreadable cheese</t>
  </si>
  <si>
    <t>Avalanche</t>
  </si>
  <si>
    <t>Fresh cream taste</t>
  </si>
  <si>
    <t>Cottage de la Beurrerie du Patrimoine</t>
  </si>
  <si>
    <t>Pronounced hazelnut flavor and butter</t>
  </si>
  <si>
    <t>Camembert-type cheese,</t>
  </si>
  <si>
    <t>Canadiane</t>
  </si>
  <si>
    <t>Munster-type cheese, washed rind</t>
  </si>
  <si>
    <t>Vent d'est</t>
  </si>
  <si>
    <t>Plain or seasoned</t>
  </si>
  <si>
    <t>Cheese curds or pressed</t>
  </si>
  <si>
    <t>Cheddar frais Côte-de-Beaupré</t>
  </si>
  <si>
    <t>Goat butter taste, more pronounced taste than the Caprano, without being overly pungent</t>
  </si>
  <si>
    <t>Caprano vieilli</t>
  </si>
  <si>
    <t>Acidulous, semi-strong taste</t>
  </si>
  <si>
    <t>Soft cheese, surface-ripened</t>
  </si>
  <si>
    <t>Cendrillon (Le)</t>
  </si>
  <si>
    <t>Double cream Brie</t>
  </si>
  <si>
    <t>Rumeur (La)</t>
  </si>
  <si>
    <t>Typed and aromatic</t>
  </si>
  <si>
    <t>Thin rind, creamy and supple texture</t>
  </si>
  <si>
    <t>Camembert de Portneuf</t>
  </si>
  <si>
    <t>It has flavous of butter, fresh mushrooms and hazelnuts that become more pronounced with age</t>
  </si>
  <si>
    <t>It has a bloomy rind with a creamy interior</t>
  </si>
  <si>
    <t>Brise du Matin</t>
  </si>
  <si>
    <t>Mild and creamy with a nutty flavour</t>
  </si>
  <si>
    <t>Double cream</t>
  </si>
  <si>
    <t>Brie double crème de Portneuf</t>
  </si>
  <si>
    <t>Slightly fruity</t>
  </si>
  <si>
    <t>Regular Brie</t>
  </si>
  <si>
    <t>Brie de Portneuf</t>
  </si>
  <si>
    <t>Bonaparte (Le)</t>
  </si>
  <si>
    <t>Delicate and salty (varieties available: plain, herb, pepper)</t>
  </si>
  <si>
    <t>Soft and creamy body, slightly acidulous</t>
  </si>
  <si>
    <t>Capriny</t>
  </si>
  <si>
    <t>Mild, light and delicate. Creamy and nutty taste</t>
  </si>
  <si>
    <t>Triple cream</t>
  </si>
  <si>
    <t>Belle Crème</t>
  </si>
  <si>
    <t>Very mild flavours reminiscent of blue cheese characteristics</t>
  </si>
  <si>
    <t>Blue-veined</t>
  </si>
  <si>
    <t>Bleubry</t>
  </si>
  <si>
    <t>Lightly salted and acidic</t>
  </si>
  <si>
    <t>Ripened, white interior</t>
  </si>
  <si>
    <t>Chèvre D'Art</t>
  </si>
  <si>
    <t>Mild, slight goat taste available with fig and orange flavour</t>
  </si>
  <si>
    <t>Chèvre des neiges</t>
  </si>
  <si>
    <t>Smooth and velvety, with age it bocomes more full-flavoured and gains a mor distinct aroma</t>
  </si>
  <si>
    <t>Supple, homogeneous, creamy-yellow body</t>
  </si>
  <si>
    <t>Calendos (Le)</t>
  </si>
  <si>
    <t>Mild and delicate  taste becoming more pronounced with age</t>
  </si>
  <si>
    <t>Natural rind</t>
  </si>
  <si>
    <t>Caprano</t>
  </si>
  <si>
    <t>Sharp to pronounced depending on ripening, lactic and slight hazelnut flavour</t>
  </si>
  <si>
    <t>Paillot de chèvre</t>
  </si>
  <si>
    <t>Mild and  rich</t>
  </si>
  <si>
    <t>Saint-Honoré</t>
  </si>
  <si>
    <t>Taste of butter, nuts and corn</t>
  </si>
  <si>
    <t>Camembert type</t>
  </si>
  <si>
    <t>Campagnard</t>
  </si>
  <si>
    <t>Butter, hazelnut and chestnut flavors</t>
  </si>
  <si>
    <t>Tomme du Maréchal</t>
  </si>
  <si>
    <t>Cream-colored, blocks or curds</t>
  </si>
  <si>
    <t>Cheddar St-Georges</t>
  </si>
  <si>
    <t>Mild, slightly lactic and hazelnut flavour</t>
  </si>
  <si>
    <t>Ivory-colored cheese, smoothand elastic texture, few holes</t>
  </si>
  <si>
    <t>Fontina de l'Abbaye</t>
  </si>
  <si>
    <t>Pronounced and becomes more pungent with age</t>
  </si>
  <si>
    <t>When aged, its texture becomes rich and creamy.</t>
  </si>
  <si>
    <t>Chèvre-Noît Bleu de chèvre</t>
  </si>
  <si>
    <t>Chanoine</t>
  </si>
  <si>
    <t>Creamy with a slight salty taste</t>
  </si>
  <si>
    <t>Natural rind, surface ripened</t>
  </si>
  <si>
    <t>Bleu Bénédictin</t>
  </si>
  <si>
    <t>Typical taste, very agreable in the mouth, neither too mild or too pronounced</t>
  </si>
  <si>
    <t>No rind, smooth and unctuous</t>
  </si>
  <si>
    <t>Memphré (Le)</t>
  </si>
  <si>
    <t>Strong taste typical of certain blue cheeses, with a long finish</t>
  </si>
  <si>
    <t>Unpressed, uncooked cheese, interior-ripened with Penicilium roqueforti</t>
  </si>
  <si>
    <t>Ermite</t>
  </si>
  <si>
    <t>Mild and hazelnutty</t>
  </si>
  <si>
    <t>Pressed cheese, natural rind and interior-ripened, dry texture, big eyes</t>
  </si>
  <si>
    <t>Frère Jacques</t>
  </si>
  <si>
    <t>Sharp, hazelnutty</t>
  </si>
  <si>
    <t>Cheese with irregular holes, natural rind</t>
  </si>
  <si>
    <t>Moine (Le)</t>
  </si>
  <si>
    <t>Mild and hazelnut flavour</t>
  </si>
  <si>
    <t>Interior ripened</t>
  </si>
  <si>
    <t>Mont Saint-Benoît</t>
  </si>
  <si>
    <t>Fresh, acidulous.</t>
  </si>
  <si>
    <t>White and damp</t>
  </si>
  <si>
    <t>Ricotta de chèvre</t>
  </si>
  <si>
    <t>Fresh, mild, slightly acidulous</t>
  </si>
  <si>
    <t>Ricotta Saint-Benoît</t>
  </si>
  <si>
    <t>Orange-colored, elastic texture</t>
  </si>
  <si>
    <t>Saint-Augustin (Le)</t>
  </si>
  <si>
    <t>Pressed, with irregular holes, no rind</t>
  </si>
  <si>
    <t>Archange (L')</t>
  </si>
  <si>
    <t>Delicate and fresh, slightly salty</t>
  </si>
  <si>
    <t>Whey Ricotta</t>
  </si>
  <si>
    <t>Ricotta Prestigio</t>
  </si>
  <si>
    <t>Ricotta Prestigio léger</t>
  </si>
  <si>
    <t>Creamy taste with a hint of mushroom</t>
  </si>
  <si>
    <t>Stabilized cheese</t>
  </si>
  <si>
    <t>Rondoux double crème</t>
  </si>
  <si>
    <t>Creamy flavor that becomes more pronounced through ripening</t>
  </si>
  <si>
    <t>Solubilized</t>
  </si>
  <si>
    <t>Rondoux triple crème</t>
  </si>
  <si>
    <t>Rondoux pur chèvre</t>
  </si>
  <si>
    <t>Pactic cheese</t>
  </si>
  <si>
    <t>Chevrita</t>
  </si>
  <si>
    <t>Mild goat flavour</t>
  </si>
  <si>
    <t>Extra chèvre (L')</t>
  </si>
  <si>
    <t>Doucerel</t>
  </si>
  <si>
    <t>Milk and hazelnut flavors</t>
  </si>
  <si>
    <t>Stabilized</t>
  </si>
  <si>
    <t>Brie Chevalier double crème</t>
  </si>
  <si>
    <t>Milk and hazelnut flavors, slightly richer than a simple cream</t>
  </si>
  <si>
    <t>Brie L'Extra double crème</t>
  </si>
  <si>
    <t>Hazelnut flavor becoming more pronounced with age</t>
  </si>
  <si>
    <t>Havarti Danesborg léger</t>
  </si>
  <si>
    <t>Creamy with a salty hint</t>
  </si>
  <si>
    <t>Pressed, interior-ripenened, covered with a layer of wax</t>
  </si>
  <si>
    <t>Fontina Canadien</t>
  </si>
  <si>
    <t>Mushroom and truffle woody flavor</t>
  </si>
  <si>
    <t>Washed rind showing a light white duvet</t>
  </si>
  <si>
    <t>Oka avec champignons</t>
  </si>
  <si>
    <t>Hazelnut and butter taste</t>
  </si>
  <si>
    <t>Oka l'artisan</t>
  </si>
  <si>
    <t>Moist surface, interior-ripened</t>
  </si>
  <si>
    <t>Feta (Danesborg)</t>
  </si>
  <si>
    <t>Féta léger (Danesborg)</t>
  </si>
  <si>
    <t>Slight hazelnut taste</t>
  </si>
  <si>
    <t>Raclette Anco</t>
  </si>
  <si>
    <t>Orange-copper washed rind, stabilized</t>
  </si>
  <si>
    <t>Champfleury (Vaudreuil)</t>
  </si>
  <si>
    <t>Salty, slightly pungent and pronounced</t>
  </si>
  <si>
    <t>Slightly creamy texture, interior-ripened</t>
  </si>
  <si>
    <t>Feta (Anco)</t>
  </si>
  <si>
    <t>Slightly creamy</t>
  </si>
  <si>
    <t>Féta de chèvre (Anco)</t>
  </si>
  <si>
    <t>Milk, hazelnut and mushroom taste</t>
  </si>
  <si>
    <t>Camembert Allégro</t>
  </si>
  <si>
    <t>Milk, hazelnut and mushroom flavour</t>
  </si>
  <si>
    <t>Camembert Anco</t>
  </si>
  <si>
    <t>Rather neutral, mushrooms aroma</t>
  </si>
  <si>
    <t>Allégro 17%</t>
  </si>
  <si>
    <t>Milk and hazelnut flavor, slightly richer than a simple cream cheese</t>
  </si>
  <si>
    <t>Brie double crème Anco</t>
  </si>
  <si>
    <t>Milk, hazelnut and mushroom flavor</t>
  </si>
  <si>
    <t>Grand Camembert l'Extra</t>
  </si>
  <si>
    <t>Grand Camembert Vaudreuil</t>
  </si>
  <si>
    <t>Camembert Provençal</t>
  </si>
  <si>
    <t>Mild flavour</t>
  </si>
  <si>
    <t>Bloomy rind, lactic cheese</t>
  </si>
  <si>
    <t>Vaudreuil 50/50 mixte</t>
  </si>
  <si>
    <t>Rather neutral with a mushroom aroma</t>
  </si>
  <si>
    <t>Brie double crème Provençal</t>
  </si>
  <si>
    <t>Camembert Gourmet</t>
  </si>
  <si>
    <t>Mostly neutral and mushroom aroma</t>
  </si>
  <si>
    <t>Brie Normandie double crème</t>
  </si>
  <si>
    <t>Fruity notes enlivened by flavours of cream, butter and a hint of whey</t>
  </si>
  <si>
    <t>Providence d'Oka (La)</t>
  </si>
  <si>
    <t>Camembert Vaudreuil</t>
  </si>
  <si>
    <t>Mild, almond and cream hints</t>
  </si>
  <si>
    <t>Pressed and uncooked cheese, interior ripened</t>
  </si>
  <si>
    <t>Gouda Anco</t>
  </si>
  <si>
    <t>Mild and delicate flavours with fairly pronounced buttery taste</t>
  </si>
  <si>
    <t>Pressed rind, interior-ripened</t>
  </si>
  <si>
    <t>Saint-Paulin Anco</t>
  </si>
  <si>
    <t>Sharp, flavours of cream and mushrooms</t>
  </si>
  <si>
    <t>Brie Notre-Dame</t>
  </si>
  <si>
    <t>Velvety (varieties available: plain, herb, pepper)</t>
  </si>
  <si>
    <t>Brie Chevalier</t>
  </si>
  <si>
    <t>Mild and rich</t>
  </si>
  <si>
    <t>Brie Chevalier triple crème</t>
  </si>
  <si>
    <t>Rather pronounced milk and hazelnut flavors</t>
  </si>
  <si>
    <t>Brie L'Extra</t>
  </si>
  <si>
    <t>Camembert L'Extra</t>
  </si>
  <si>
    <t>Mild, hint of cream and mushrooms</t>
  </si>
  <si>
    <t>Brie Vaudreuil</t>
  </si>
  <si>
    <t>Milky, hazelnut, slightly richer than the simple cream</t>
  </si>
  <si>
    <t>Brie Vaudreuil Double Crème</t>
  </si>
  <si>
    <t>Havarti Danesborg</t>
  </si>
  <si>
    <t>Mozzarella (Prestigio)</t>
  </si>
  <si>
    <t>Suisse Grubec</t>
  </si>
  <si>
    <t>Suisse Grubec léger</t>
  </si>
  <si>
    <t>Sharp, pungent</t>
  </si>
  <si>
    <t>Raclette d'Oka</t>
  </si>
  <si>
    <t>Sharp, nutty and fruity</t>
  </si>
  <si>
    <t>Pressed, surface ripened</t>
  </si>
  <si>
    <t>Oka</t>
  </si>
  <si>
    <t>Sharp and fruity, hazelnutty</t>
  </si>
  <si>
    <t>Pressed, surface-ripened</t>
  </si>
  <si>
    <t>Oka Classique</t>
  </si>
  <si>
    <t>Sharp and fruity, hazelnut flavour</t>
  </si>
  <si>
    <t>Oka léger</t>
  </si>
  <si>
    <t>Light taste</t>
  </si>
  <si>
    <t>Gouda extra doux (Bergeron)</t>
  </si>
  <si>
    <t>Gouda de Saint-Antoine</t>
  </si>
  <si>
    <t>Smoky, comes in 2 flavours</t>
  </si>
  <si>
    <t>Gouda-type cheese</t>
  </si>
  <si>
    <t>Calumet (Le)</t>
  </si>
  <si>
    <t>Fresh milky, creamy taste, very mild</t>
  </si>
  <si>
    <t>Brin de gouda</t>
  </si>
  <si>
    <t>Sharp, distinct flavour of Indian spices</t>
  </si>
  <si>
    <t>Pressed and not cooked cheese, interior ripened</t>
  </si>
  <si>
    <t>Coureur des bois (Le)</t>
  </si>
  <si>
    <t>Pressed, uncooked, interior ripened, natural rind</t>
  </si>
  <si>
    <t>Fin Renard (Le)</t>
  </si>
  <si>
    <t>Mild, hazelnut flavour, slightly acidulous</t>
  </si>
  <si>
    <t>Smooth with small holes, no rind</t>
  </si>
  <si>
    <t>Bergeron Classique</t>
  </si>
  <si>
    <t>Slightly acidulous taste</t>
  </si>
  <si>
    <t>Pressed, uncooked, interior-ripened cheese</t>
  </si>
  <si>
    <t>Populaire (Le)</t>
  </si>
  <si>
    <t>Mild and slightly acidulous</t>
  </si>
  <si>
    <t>Interior ripened and covered with yellow wax</t>
  </si>
  <si>
    <t>Seigneur de Tilly (Le)</t>
  </si>
  <si>
    <t>Creation of the Bergeron cheese masters. Made of whole milk, and contains no dairy substances. Slightly firmer than regular Gouda</t>
  </si>
  <si>
    <t>Lotbinière (Le)</t>
  </si>
  <si>
    <t>Nutty, mildly tangy flavour</t>
  </si>
  <si>
    <t>Smooth cheese with a few small holes</t>
  </si>
  <si>
    <t>P'tit Bonheur (Le)</t>
  </si>
  <si>
    <t>Product wrapped in black, non-edible wax. When cut, the wedges are covered with thermoformed film</t>
  </si>
  <si>
    <t>Patte Blanche</t>
  </si>
  <si>
    <t>Popular 6% cheese called that because of its low fat content. Made from pasteurized partially skimmed milk. Smooth cheese with a few holes</t>
  </si>
  <si>
    <t>Six Pourcent 6% (Le)</t>
  </si>
  <si>
    <t>Creamy and milky</t>
  </si>
  <si>
    <t>White creamy cheese</t>
  </si>
  <si>
    <t>Monpellier (Le)</t>
  </si>
  <si>
    <t>Creamy,</t>
  </si>
  <si>
    <t>Montebello (Le)</t>
  </si>
  <si>
    <t>Pronounced, well-developed, fruity with butter and hazelnut notes</t>
  </si>
  <si>
    <t>Louis-Joseph Papineau</t>
  </si>
  <si>
    <t>Mild and slightly acidulous. Various flavours</t>
  </si>
  <si>
    <t>Petit Vinoy (Le)</t>
  </si>
  <si>
    <t>Mild, goat flavour, slightly acidulous</t>
  </si>
  <si>
    <t>Saint-Félix</t>
  </si>
  <si>
    <t>Mild mushroom and nut taste</t>
  </si>
  <si>
    <t>Clé des champs</t>
  </si>
  <si>
    <t>Mild and lactic availble in plain, garlic and herbs, chives, almond, five peppercorn, cajun and in flavoured olive oil</t>
  </si>
  <si>
    <t>Capri' Cieux  (Le)</t>
  </si>
  <si>
    <t>Mild to medium depending on the age</t>
  </si>
  <si>
    <t>Chèvratout</t>
  </si>
  <si>
    <t>Sharp, slight hazelnut hints</t>
  </si>
  <si>
    <t>Rind washed with cider</t>
  </si>
  <si>
    <t>Hilairemontais (Le)</t>
  </si>
  <si>
    <t>Slightly salted, whey aftertaste</t>
  </si>
  <si>
    <t>Daily fresh</t>
  </si>
  <si>
    <t>Cheddar Riviera en grains</t>
  </si>
  <si>
    <t>Buttery and creamy lactic flavor</t>
  </si>
  <si>
    <t>Cheddar doux Riviera</t>
  </si>
  <si>
    <t>Lactic buttery and creamy flavor more pronounced than mild cheddar</t>
  </si>
  <si>
    <t>Cheddar médium Riviera</t>
  </si>
  <si>
    <t>Rich nutty flavor with a hint of cream</t>
  </si>
  <si>
    <t>Cheddar fort Riviera</t>
  </si>
  <si>
    <t>Nutty, creamy flavor, slightly salted</t>
  </si>
  <si>
    <t>Cheddar extra-fort Riviera</t>
  </si>
  <si>
    <t>Sharp</t>
  </si>
  <si>
    <t>Pressed cheese, strong aroma, when aged its rind goes from yellow to red</t>
  </si>
  <si>
    <t>Saint-Pierre de Saurel léger</t>
  </si>
  <si>
    <t>Hazelnut taste</t>
  </si>
  <si>
    <t>Pressed cheese, ivory colored, pierced with holes. Swiss type cheese.</t>
  </si>
  <si>
    <t>Chaliberg léger</t>
  </si>
  <si>
    <t>Pressed cheese, ivory-colored, sprinkled with holes. Swiss type cheese.</t>
  </si>
  <si>
    <t>Chaliberg</t>
  </si>
  <si>
    <t>Mild, hints of butter</t>
  </si>
  <si>
    <t>Finbourgeois</t>
  </si>
  <si>
    <t>Mild, hints of fresh milk</t>
  </si>
  <si>
    <t>Élan 7% (L')</t>
  </si>
  <si>
    <t>Saint-Pierre de Saurel</t>
  </si>
  <si>
    <t>Slightly hazelnut and creamy taste</t>
  </si>
  <si>
    <t>Dutch Edam-type cheese, smooth surface, light yellow and uniform center, supple, smooth and melting texture</t>
  </si>
  <si>
    <t>Vent des îles</t>
  </si>
  <si>
    <t>Slightly sweet almond flavor</t>
  </si>
  <si>
    <t>Emmental type cheese, with no rind, yellow-colored, with big round holes</t>
  </si>
  <si>
    <t>Alpinois (L')</t>
  </si>
  <si>
    <t>Dense cheese with washed rind. Cheese made from Ayrshire cow's milk.</t>
  </si>
  <si>
    <t>Fêtard (Le)</t>
  </si>
  <si>
    <t>Fruitty notes with flavours of cream, butter and a hint of whey</t>
  </si>
  <si>
    <t>Cheese made from Ayrshire cow's milk..</t>
  </si>
  <si>
    <t>Laracam</t>
  </si>
  <si>
    <t>Washed rind. Cheese made from Ayrshire cow's milk</t>
  </si>
  <si>
    <t>Victor et Berthold</t>
  </si>
  <si>
    <t>Hazelnut and slightly fruity</t>
  </si>
  <si>
    <t>Swiss-type cheese showing round and shiny eyes</t>
  </si>
  <si>
    <t>Suisse (Fromagerie Champêtre)</t>
  </si>
  <si>
    <t>Characteristic, mild and lactic to sharp. With a slight wild mushroom taste.</t>
  </si>
  <si>
    <t>Mixed rind washed with brine</t>
  </si>
  <si>
    <t>Presqu'île (Le)</t>
  </si>
  <si>
    <t>Slighty sharp with salted butter and country flavour.</t>
  </si>
  <si>
    <t>Pressed, smooth, soft and creamy cheese.</t>
  </si>
  <si>
    <t>Raclette (Fromagerie Champêtre)</t>
  </si>
  <si>
    <t>Sharp with a slight nut and wild mushroom flavour</t>
  </si>
  <si>
    <t>Supple, smooth and creamy</t>
  </si>
  <si>
    <t>Grand Chouffe (Le)</t>
  </si>
  <si>
    <t>Made from whole milk</t>
  </si>
  <si>
    <t>Cheddar en grains et en bloc (Fromagerie Champêtre)</t>
  </si>
  <si>
    <t>White, delicate and crumbly cheese</t>
  </si>
  <si>
    <t>Salin de Gaspé (Le)</t>
  </si>
  <si>
    <t>Mild and slightly acidulous (varieties available: plain, herb, and pepper)</t>
  </si>
  <si>
    <t>Chèvre de Gaspé</t>
  </si>
  <si>
    <t>Cooked and pressed, cheddar type</t>
  </si>
  <si>
    <t>Val-D'Espoir</t>
  </si>
  <si>
    <t>Mild, hazelnut and mushroom flavour</t>
  </si>
  <si>
    <t>Melting texture in the mouth</t>
  </si>
  <si>
    <t>Corsaire</t>
  </si>
  <si>
    <t>Brie Mme Clément</t>
  </si>
  <si>
    <t>Brie Le Petit Champlain</t>
  </si>
  <si>
    <t>Sharp to pronounced, mushroomy and creamy</t>
  </si>
  <si>
    <t>P'tit Saint-Damase léger</t>
  </si>
  <si>
    <t>Camembert BIO  (Damafro)</t>
  </si>
  <si>
    <t>Sharp to pronounced, taste of mushrooms and cream</t>
  </si>
  <si>
    <t>Saint-Damase BIO</t>
  </si>
  <si>
    <t>Covered with a layer of red wax</t>
  </si>
  <si>
    <t>Gouda BIO (Damafro)</t>
  </si>
  <si>
    <t>Mild and acidulous</t>
  </si>
  <si>
    <t>Creamy cheese</t>
  </si>
  <si>
    <t>Chèvre des Alpes BIO</t>
  </si>
  <si>
    <t>Brie Le Grand Cru</t>
  </si>
  <si>
    <t>Camembert Le Grand Cru</t>
  </si>
  <si>
    <t>Brie double crème (Damafro)</t>
  </si>
  <si>
    <t>Plain, cranberries, apricots and brandy, mushrooms</t>
  </si>
  <si>
    <t>Brie en brioche</t>
  </si>
  <si>
    <t>Mild, cream and mushroom flavours</t>
  </si>
  <si>
    <t>Brie Triple crème (Damafro)</t>
  </si>
  <si>
    <t>Brie Connaisseur (Damafro)</t>
  </si>
  <si>
    <t>Mild and goat flavour</t>
  </si>
  <si>
    <t>Cabrie</t>
  </si>
  <si>
    <t>Mild and creamy</t>
  </si>
  <si>
    <t>Camembert double crème (Damafro)</t>
  </si>
  <si>
    <t>Dama-12</t>
  </si>
  <si>
    <t>Fresh, lactic, acidulous</t>
  </si>
  <si>
    <t>Damablanc</t>
  </si>
  <si>
    <t>Plain, herbs, pepper</t>
  </si>
  <si>
    <t>Fromage de chèvre Tour de France</t>
  </si>
  <si>
    <t>Brie Petit Connaisseur</t>
  </si>
  <si>
    <t>Mini-Brie</t>
  </si>
  <si>
    <t>Mild, slightly acidulous, available: plain, Fine Herbs or Pepper</t>
  </si>
  <si>
    <t>Chèvre des Alpes</t>
  </si>
  <si>
    <t>Bûchette (La)</t>
  </si>
  <si>
    <t>Orange rind</t>
  </si>
  <si>
    <t>Aura</t>
  </si>
  <si>
    <t>Covered in orange wax</t>
  </si>
  <si>
    <t>Saint-Paulin (Damafro)</t>
  </si>
  <si>
    <t>Sharp, lactic and goat flavour</t>
  </si>
  <si>
    <t>Cheese covered with red wax</t>
  </si>
  <si>
    <t>Gouda de chèvre (Damafro)</t>
  </si>
  <si>
    <t>Mild, slight mushroom aroma</t>
  </si>
  <si>
    <t>Grand Délice</t>
  </si>
  <si>
    <t>Nutty</t>
  </si>
  <si>
    <t>Pressed surface-ripened washed-rind cheese</t>
  </si>
  <si>
    <t>Raclette (Damafro)</t>
  </si>
  <si>
    <t>Neither pressed nor cooked, surface-ripened, washed and bloomy rind cheese</t>
  </si>
  <si>
    <t>Saint-Damase</t>
  </si>
  <si>
    <t>Camembert (Damafro)</t>
  </si>
  <si>
    <t>Brie (Damafro)</t>
  </si>
  <si>
    <t>Brie Tour de France (Damafro)</t>
  </si>
  <si>
    <t>Camembert Connaisseur</t>
  </si>
  <si>
    <t>Camembert Mme Clément</t>
  </si>
  <si>
    <t>Gouda (Damafro)</t>
  </si>
  <si>
    <t>Mild and goaty</t>
  </si>
  <si>
    <t>Tomme de chèvre (Damafro)</t>
  </si>
  <si>
    <t>Available: Fine Herbs and Pepper</t>
  </si>
  <si>
    <t>Grand Duc (Le)</t>
  </si>
  <si>
    <t>Available: Plain Goat  Cheese, Goat  Cheese with Pepper, Goat  Cheese with Fine Herbs</t>
  </si>
  <si>
    <t>Spreadable cheese</t>
  </si>
  <si>
    <t>Chèvre Le Grand Cru</t>
  </si>
  <si>
    <t>Ricotta (Damafro)</t>
  </si>
  <si>
    <t>Mascarpone (Damafro)</t>
  </si>
  <si>
    <t>Slightly woody</t>
  </si>
  <si>
    <t>Vacherin de Châteauguay</t>
  </si>
  <si>
    <t>Flavours of hazelnut, butter and apples</t>
  </si>
  <si>
    <t>Washed rind with cider</t>
  </si>
  <si>
    <t>Tomme du Manoir affinée au cidre de pomme</t>
  </si>
  <si>
    <t>Smoked salmon</t>
  </si>
  <si>
    <t>Smooth rind covered with dill</t>
  </si>
  <si>
    <t>SOMO Brie au saumon fumé</t>
  </si>
  <si>
    <t>Sorcier de Missisquoi (Le)</t>
  </si>
  <si>
    <t>Pronounced with a hazelnut woody flavour</t>
  </si>
  <si>
    <t>Feuille d'automne</t>
  </si>
  <si>
    <t>Woodsy flavours, toasted hazelnut notes</t>
  </si>
  <si>
    <t>Pressed, moist washed-rind cheese</t>
  </si>
  <si>
    <t>Peau Rouge</t>
  </si>
  <si>
    <t>Pressed, surface-ripened, washed-rind cheese</t>
  </si>
  <si>
    <t>Raclette affinée au cidre de pommes (Les Dépendances du Manoir)</t>
  </si>
  <si>
    <t>Sharp to pronounced, fruity with apple and toasted hazelnut flavours</t>
  </si>
  <si>
    <t>Rougette de Brigham</t>
  </si>
  <si>
    <t>Sweetened with apple flavour</t>
  </si>
  <si>
    <t>Filled with caramelised apple</t>
  </si>
  <si>
    <t>Tarapatapom</t>
  </si>
  <si>
    <t>Fairly full-flavoured, with a smooth and creamy finish</t>
  </si>
  <si>
    <t>Louis Dubois</t>
  </si>
  <si>
    <t>Smooth, washed rind</t>
  </si>
  <si>
    <t>Raclette des Appalaches</t>
  </si>
  <si>
    <t>Sharp and hazelnutty, becoming fruitier with age</t>
  </si>
  <si>
    <t>Pressed surface-ripened and washed-rind cheese, ivory coloured interior with an orange tone,  natural rind</t>
  </si>
  <si>
    <t>Mamirolle (Le)</t>
  </si>
  <si>
    <t>Pressed surface-ripened</t>
  </si>
  <si>
    <t>Délice des Appalaches</t>
  </si>
  <si>
    <t>Bloomy rind, Camembert type</t>
  </si>
  <si>
    <t>Casimir (Le)</t>
  </si>
  <si>
    <t>Diable aux Vaches (Le)</t>
  </si>
  <si>
    <t>Mild, Lactic, fungus flavour</t>
  </si>
  <si>
    <t>Sieur Corbeau des Laurentides</t>
  </si>
  <si>
    <t>Subtle flavour of hazelnuts and reminiscent of maple syrup</t>
  </si>
  <si>
    <t>Cru des Érables (Le)</t>
  </si>
  <si>
    <t>Plain or seasoned with chives, fine herbs or tomato and basil</t>
  </si>
  <si>
    <t>Vacuum-packed or stored in a brine</t>
  </si>
  <si>
    <t>Feta Floralpe</t>
  </si>
  <si>
    <t>Cooked cheese</t>
  </si>
  <si>
    <t>Brebiouais</t>
  </si>
  <si>
    <t>Slightly pungent and acid</t>
  </si>
  <si>
    <t>Mild to sharp aroma with a hint of its soil</t>
  </si>
  <si>
    <t>Buchevrette</t>
  </si>
  <si>
    <t>Sharp, lactic, goat flavour, slightly acid</t>
  </si>
  <si>
    <t>Smooth and creamy with a bloomy rind</t>
  </si>
  <si>
    <t>Heidi</t>
  </si>
  <si>
    <t>Mild and acidulous, seasoned with fine herbs and garlic</t>
  </si>
  <si>
    <t>Creamy cheese, relatively dried and crumbly texture</t>
  </si>
  <si>
    <t>Micha</t>
  </si>
  <si>
    <t>Cheese made with a cheddarization process</t>
  </si>
  <si>
    <t>Montagnard (Le)</t>
  </si>
  <si>
    <t>Sharp and goat flavour</t>
  </si>
  <si>
    <t>Washed rind, Muenster type</t>
  </si>
  <si>
    <t>Peter</t>
  </si>
  <si>
    <t>Butter and hazelnut taste</t>
  </si>
  <si>
    <t>Mixed whity rind, melting texture in its centre</t>
  </si>
  <si>
    <t>Roubine de Noyan</t>
  </si>
  <si>
    <t>Camembert type cheese</t>
  </si>
  <si>
    <t>Soeur Angèle (La)</t>
  </si>
  <si>
    <t>Mild, lactic</t>
  </si>
  <si>
    <t>Saint-Paulin Fritz léger</t>
  </si>
  <si>
    <t>Sharp, slight hazelnut flavour</t>
  </si>
  <si>
    <t>Empereur léger</t>
  </si>
  <si>
    <t>Sharp and fruity</t>
  </si>
  <si>
    <t>Raclette Fritz Médium</t>
  </si>
  <si>
    <t>Sharp, peppery and fruity</t>
  </si>
  <si>
    <t>Raclette Fritz Poivre</t>
  </si>
  <si>
    <t>Very sharp, fruity</t>
  </si>
  <si>
    <t>Raclette Fritz Fort</t>
  </si>
  <si>
    <t>Chevrochon</t>
  </si>
  <si>
    <t>Fairly pronounced fruity flavours</t>
  </si>
  <si>
    <t>Surface ripened</t>
  </si>
  <si>
    <t>Douanier (Le)</t>
  </si>
  <si>
    <t>Fruity, nutty taste accentuated by the aroma of St-Ambroise beer</t>
  </si>
  <si>
    <t>Surface-ripened cheese, washed rind</t>
  </si>
  <si>
    <t>Clos Saint-Ambroise</t>
  </si>
  <si>
    <t>Mild, lactic, slightly acidulated, flavoured with five peppercorns, garlic, herbs or parsley</t>
  </si>
  <si>
    <t>Cristalia</t>
  </si>
  <si>
    <t>Empereur</t>
  </si>
  <si>
    <t>Sharp, fruity flavour with notes of apples and nuts</t>
  </si>
  <si>
    <t>Pressed, cooked, surface- and interior-ripened, washed-rind cheese</t>
  </si>
  <si>
    <t>Miranda</t>
  </si>
  <si>
    <t>Covered with a black wax.</t>
  </si>
  <si>
    <t>Mouton noir</t>
  </si>
  <si>
    <t>Mild, creamy flavour with hints of hazelnut</t>
  </si>
  <si>
    <t>Noyan</t>
  </si>
  <si>
    <t>Port-Royal</t>
  </si>
  <si>
    <t>Raclette Fritz</t>
  </si>
  <si>
    <t>Raclette Griffon</t>
  </si>
  <si>
    <t>Mild, Lacitc</t>
  </si>
  <si>
    <t>Saint-Paulin Fritz</t>
  </si>
  <si>
    <t>Sharp, lactic and fruity, slightly woodsy</t>
  </si>
  <si>
    <t>Pressed, surface and interior-ripened cheese, washed rind</t>
  </si>
  <si>
    <t>Vacherin Fritz Kaiser</t>
  </si>
  <si>
    <t>Sharp and slightly woodsy</t>
  </si>
  <si>
    <t>Moist, washed rind</t>
  </si>
  <si>
    <t>Zurigo</t>
  </si>
  <si>
    <t>Surface ripened, washed rind</t>
  </si>
  <si>
    <t>Tomme du Haut-Richelieu</t>
  </si>
  <si>
    <t>Lactic, lightly nutty with notes of caramel</t>
  </si>
  <si>
    <t>Gré des champs (Le)</t>
  </si>
  <si>
    <t>Floral with a note of mushrooms</t>
  </si>
  <si>
    <t>Light yellow color with small openings du to the type of moulding process</t>
  </si>
  <si>
    <t>D'Iberville (Le)</t>
  </si>
  <si>
    <t>Sharp nutty taste</t>
  </si>
  <si>
    <t>Cooked mixed rind</t>
  </si>
  <si>
    <t>Monnoir (Le)</t>
  </si>
  <si>
    <t>Buttery and fruity</t>
  </si>
  <si>
    <t>Orange rind, golden-yellow interior showing small holes</t>
  </si>
  <si>
    <t>Pikauba</t>
  </si>
  <si>
    <t>Notes of cream and hazelnut</t>
  </si>
  <si>
    <t>Kénogami (Le)</t>
  </si>
  <si>
    <t>Cheddar doux (Fromagerie Lemaire)</t>
  </si>
  <si>
    <t>Cheddar mi-fort (Fromagerie Lemaire)</t>
  </si>
  <si>
    <t>Cheddar fort (Fromagerie Lemaire)</t>
  </si>
  <si>
    <t>Cheddar très fort (Fromagerie Lemaire)</t>
  </si>
  <si>
    <t>Light Monterey Jack type cheese</t>
  </si>
  <si>
    <t>Voltigeur</t>
  </si>
  <si>
    <t>Emmental-like flavor, but less pronounced. Slightly sweet almond flavor.</t>
  </si>
  <si>
    <t>Firm and supple cheese showing big round eyes distributed in the mass</t>
  </si>
  <si>
    <t>Suisse (Fromagerie Lemaire)</t>
  </si>
  <si>
    <t>Lactic, slightly acid</t>
  </si>
  <si>
    <t>Cylindrical-shaped</t>
  </si>
  <si>
    <t>Deo Gratias (Le)</t>
  </si>
  <si>
    <t>Vegetable flavor</t>
  </si>
  <si>
    <t>Very white, runny and unctuous. Small rounds.</t>
  </si>
  <si>
    <t>Secret de Maurice (Le)</t>
  </si>
  <si>
    <t>Floral aroma</t>
  </si>
  <si>
    <t>Brownish with white specks, washed rind</t>
  </si>
  <si>
    <t>Tomme D'Elles (La)</t>
  </si>
  <si>
    <t>Pronounced with notes of cream and mushrooms</t>
  </si>
  <si>
    <t>Veined cheese</t>
  </si>
  <si>
    <t>Ciel de Charlevoix (Le)</t>
  </si>
  <si>
    <t>Sharp, fruity with butter and hazelnut notes</t>
  </si>
  <si>
    <t>Surface-ripened, washed rind, slightly orange, somewhat sticky texture</t>
  </si>
  <si>
    <t>Migneron de Charlevoix (Le)</t>
  </si>
  <si>
    <t>Slightly sweet taste</t>
  </si>
  <si>
    <t>Semi-granular texture</t>
  </si>
  <si>
    <t>Ricotta La Moutonnière</t>
  </si>
  <si>
    <t>Mild and distinctive</t>
  </si>
  <si>
    <t>Veined cheese, natural rind</t>
  </si>
  <si>
    <t>Bleu de la Moutonnière (Le)</t>
  </si>
  <si>
    <t>All sorts of subtle and full-bodied flavors from hazelnut to spices</t>
  </si>
  <si>
    <t>Cabanon (Le)</t>
  </si>
  <si>
    <t>Mild, almond taste</t>
  </si>
  <si>
    <t>Creamy texture. Pressed cheese, uncooked.</t>
  </si>
  <si>
    <t>Fleur des Monts</t>
  </si>
  <si>
    <t>Creamy, soft texture</t>
  </si>
  <si>
    <t>Neige de Brebis (Le)</t>
  </si>
  <si>
    <t>Strong and flavourful</t>
  </si>
  <si>
    <t>Creamy, slightly aged rind, very soft, becomes increasingly firm in texture and develops amber-coloured rind as it ages</t>
  </si>
  <si>
    <t>Bercail (Le)</t>
  </si>
  <si>
    <t>Delicate aroma of blue cheese without the sharp spicy flavour</t>
  </si>
  <si>
    <t>Lightly veined by natural green and blue molds</t>
  </si>
  <si>
    <t>Soupçon de Bleu (Le)</t>
  </si>
  <si>
    <t>Foin d'odeur (Le)</t>
  </si>
  <si>
    <t>Pronounced, acidulous and salty</t>
  </si>
  <si>
    <t>Lightly pressed, very soft and crumbly texture</t>
  </si>
  <si>
    <t>Féta La Moutonnière</t>
  </si>
  <si>
    <t>Flavors : plain, BBQ, garlic, onion, fine herbs, maple, souvlaki, 3 peppers and bacon</t>
  </si>
  <si>
    <t>Cheddar frais (La Pépite d'Or)</t>
  </si>
  <si>
    <t>Mozzarella (La Pépite d'Or)</t>
  </si>
  <si>
    <t>Mild to sharp</t>
  </si>
  <si>
    <t>Creamy-colored, crumbly texture</t>
  </si>
  <si>
    <t>Grand Cahill (Le)</t>
  </si>
  <si>
    <t>Fruity flavor that intensifies with age</t>
  </si>
  <si>
    <t>Medium white cheddar (3 to 9 months)</t>
  </si>
  <si>
    <t>Cheddar moyen (Fromagerie Perron)</t>
  </si>
  <si>
    <t>Cheddar 1 an (Fromagerie Perron)</t>
  </si>
  <si>
    <t>Cheddar 2 ans (Fromagerie Perron)</t>
  </si>
  <si>
    <t>Doyen (Le)</t>
  </si>
  <si>
    <t>Réserve spéciale 115e</t>
  </si>
  <si>
    <t>Suisse léger (Fromagerie Perron)</t>
  </si>
  <si>
    <t>Mild hazelnutty flavor</t>
  </si>
  <si>
    <t>Swiss type cheese, interior ripened</t>
  </si>
  <si>
    <t>Suisse (Fromagerie Perron)</t>
  </si>
  <si>
    <t>Sharp to pronounced, winey flavour</t>
  </si>
  <si>
    <t>Pressed and cooked cheese, interior-ripened</t>
  </si>
  <si>
    <t>Cheddar au Porto (Fromagerie Perron)</t>
  </si>
  <si>
    <t>Mild hazelnut flavor</t>
  </si>
  <si>
    <t>Mild hazelnut aroma</t>
  </si>
  <si>
    <t>Suisse au lait cru (Fromagerie Perron)</t>
  </si>
  <si>
    <t>Very mild. Curds are aslo available BBQ seasoned</t>
  </si>
  <si>
    <t>Daily fresh, withe cheese curds, twist or blocks.</t>
  </si>
  <si>
    <t>Cheddar frais du jour (Fromagerie Perron)</t>
  </si>
  <si>
    <t>Pronounced and fruity</t>
  </si>
  <si>
    <t>Pressed, storage cheese</t>
  </si>
  <si>
    <t>Tomme des Demoiselles (La)</t>
  </si>
  <si>
    <t>Mild to tangy, slightly salty</t>
  </si>
  <si>
    <t>White and velvety bloomy rind, smooth and creamy  texture</t>
  </si>
  <si>
    <t>Jeune-Coeur</t>
  </si>
  <si>
    <t>Sharp, hazelnut flavour and slightly salty</t>
  </si>
  <si>
    <t>Pied-de-vent</t>
  </si>
  <si>
    <t>Slightly nutty</t>
  </si>
  <si>
    <t>Reblochon type cheese</t>
  </si>
  <si>
    <t>Curé Labelle</t>
  </si>
  <si>
    <t>Raclette type cheese</t>
  </si>
  <si>
    <t>Fée des bois</t>
  </si>
  <si>
    <t>Spicy</t>
  </si>
  <si>
    <t>Barre du jour</t>
  </si>
  <si>
    <t>Chevrier</t>
  </si>
  <si>
    <t>Twisted cheddar type cheese</t>
  </si>
  <si>
    <t>Tortillard</t>
  </si>
  <si>
    <t>Nutty taste</t>
  </si>
  <si>
    <t>Slightly crumbly texture</t>
  </si>
  <si>
    <t>Cheddar nature (le P'tit Train du Nord)</t>
  </si>
  <si>
    <t>Nutty taste with a hint of Porto</t>
  </si>
  <si>
    <t>Cheddar aromatisé au Porto (le P'tit Train du Nord)</t>
  </si>
  <si>
    <t>Distinct taste of nuts with creamy and buttery notes</t>
  </si>
  <si>
    <t>Pressed and cooked cheese, surface ripened, washed rind</t>
  </si>
  <si>
    <t>Wabassee</t>
  </si>
  <si>
    <t>Slightly fruity flavours with sweeter notes provided by the mead</t>
  </si>
  <si>
    <t>Pressed, cooked, washed-rind cheese</t>
  </si>
  <si>
    <t>Windigo</t>
  </si>
  <si>
    <t>Duo du Paradis</t>
  </si>
  <si>
    <t>Creamy and crumbly</t>
  </si>
  <si>
    <t>Petit Soleil</t>
  </si>
  <si>
    <t>Fresh cheese marinated in sunflower oil</t>
  </si>
  <si>
    <t>Boules de Chèvre</t>
  </si>
  <si>
    <t>Salty, slightly tangy and strong taste</t>
  </si>
  <si>
    <t>Soft, smooth and crumbly texture</t>
  </si>
  <si>
    <t>Fetos Feta léger (Saputo)</t>
  </si>
  <si>
    <t>Fresh with a bitter hint</t>
  </si>
  <si>
    <t>White fresh cheese</t>
  </si>
  <si>
    <t>Ricotta de Lactosérum Bari</t>
  </si>
  <si>
    <t>Fresh soft cheese - Mozzarella</t>
  </si>
  <si>
    <t>Mozzarella (Fiorella)</t>
  </si>
  <si>
    <t>Stretchy cheese</t>
  </si>
  <si>
    <t>Mozzarella (Lino)</t>
  </si>
  <si>
    <t>Mozzarella (Mozza Fina)</t>
  </si>
  <si>
    <t>Mozzarella (Saputo)</t>
  </si>
  <si>
    <t>Available white, yellow or marble</t>
  </si>
  <si>
    <t>Cheddar Kingsey</t>
  </si>
  <si>
    <t>Mild, butter and almond flavours becomes more pronounced with age</t>
  </si>
  <si>
    <t>Pressed and cooked cheese, interior-ripened, slightly stringy texture</t>
  </si>
  <si>
    <t>Caciocavallo (Saputo)</t>
  </si>
  <si>
    <t>Sharp, lactic, smoky flavour</t>
  </si>
  <si>
    <t>Pressed and cooked cheese, pasta filata</t>
  </si>
  <si>
    <t>Caciocavallo fumé (Saputo)</t>
  </si>
  <si>
    <t>Cooked, Canadian Swiss type of cheese</t>
  </si>
  <si>
    <t>Cogruet (Le)</t>
  </si>
  <si>
    <t>Goat's milk and fresh cream</t>
  </si>
  <si>
    <t>Smooth and creamy texture</t>
  </si>
  <si>
    <t>Mozzarina Mediterrano</t>
  </si>
  <si>
    <t>Mild, milky flavoured cheese with a lightly salted butter flavour</t>
  </si>
  <si>
    <t>Melt-in-your-mouth texture, stretchy cheese</t>
  </si>
  <si>
    <t>Mozzarellissima</t>
  </si>
  <si>
    <t>Raclette Kingsey</t>
  </si>
  <si>
    <t>Delicate milk taste</t>
  </si>
  <si>
    <t>Pasta filata cheese, smooth, velvety and rather firm texture</t>
  </si>
  <si>
    <t>Bocconcini (Saputo)</t>
  </si>
  <si>
    <t>Delicat milk taste</t>
  </si>
  <si>
    <t>Thread-like cheese stored in salt water, velvety texture</t>
  </si>
  <si>
    <t>Trecce (Saputo)</t>
  </si>
  <si>
    <t>Salty, slightly tangy and strong taste. Available seasoned with sundried tomatoes, olives or oregano.</t>
  </si>
  <si>
    <t>Fetos Feta (Saputo)</t>
  </si>
  <si>
    <t>Smooth and velvety, with a hint of butter, flavour becomes stronger and tangier with age</t>
  </si>
  <si>
    <t>Pressed, cooked, stretch-type, interior-ripened cheese</t>
  </si>
  <si>
    <t>Provolone (Saputo)</t>
  </si>
  <si>
    <t>Fresh, very mild, lactic</t>
  </si>
  <si>
    <t>Tuma</t>
  </si>
  <si>
    <t>Flavours of hazelnut, mushrooms and sweet butter</t>
  </si>
  <si>
    <t>Riopelle de l'Isle (Le)</t>
  </si>
  <si>
    <t>Woodsy aroma, slightly acid taste</t>
  </si>
  <si>
    <t>Uniform texture showing small holes, brushed rind</t>
  </si>
  <si>
    <t>Tomme de Grosse-Île</t>
  </si>
  <si>
    <t>Sharp, hazelnut flavour with a slight bitterness</t>
  </si>
  <si>
    <t>Bloomy rind, washed rind</t>
  </si>
  <si>
    <t>Mi-Carême</t>
  </si>
  <si>
    <t>Pressed and cooked cheese, interior ripened</t>
  </si>
  <si>
    <t>Cheddar vieilli de l'île-aux-Grues</t>
  </si>
  <si>
    <t>Herbs flavor</t>
  </si>
  <si>
    <t>St-Antoine (Le)</t>
  </si>
  <si>
    <t>Mild, pungent and very salty</t>
  </si>
  <si>
    <t>Goat's Feta. White and creamy texture which is not crumbly.</t>
  </si>
  <si>
    <t>Fermier (Le)</t>
  </si>
  <si>
    <t>Sharp, slight fruity and hazelnut note finish</t>
  </si>
  <si>
    <t>Capra (Le)</t>
  </si>
  <si>
    <t>Mild with slight tart accent. Herbs or plain.</t>
  </si>
  <si>
    <t>Fresh cheese, spreadable creamy texture.</t>
  </si>
  <si>
    <t>Caprice (Le)</t>
  </si>
  <si>
    <t>Sharp, with a long finish</t>
  </si>
  <si>
    <t>Creamy cheese with pleasant mushroom aroma</t>
  </si>
  <si>
    <t>Barbu (Le)</t>
  </si>
  <si>
    <t>Light goat taste with flavors of thyme and olive</t>
  </si>
  <si>
    <t>Natural rind or ripened in olive oil.</t>
  </si>
  <si>
    <t>Crottin (Le)</t>
  </si>
  <si>
    <t>Mild, with a slightly pungent taste</t>
  </si>
  <si>
    <t>Milk and field flower aroma</t>
  </si>
  <si>
    <t>Freddo (Le)</t>
  </si>
  <si>
    <t>Creamy, fresh milk taste with a hint of salt</t>
  </si>
  <si>
    <t>Camembert type cheese with bloomy rind</t>
  </si>
  <si>
    <t>Petit Poitou (Le)</t>
  </si>
  <si>
    <t>Camembert type cheese, white bloomy rind that has a  mushroom aroma, creamy texture</t>
  </si>
  <si>
    <t>Petit Normand (Le)</t>
  </si>
  <si>
    <t>Mild and milky with a bitter touch</t>
  </si>
  <si>
    <t>Bloomy rind, fresh mushroom aroma</t>
  </si>
  <si>
    <t>Pizy (Le)</t>
  </si>
  <si>
    <t>Tome (La)</t>
  </si>
  <si>
    <t>Pronounced with an explosive finish</t>
  </si>
  <si>
    <t>Pyramidal shape, froggy rind, can present bluish mold</t>
  </si>
  <si>
    <t>Sabot de Blanchette (Le)</t>
  </si>
  <si>
    <t>Creamy and mild available in the following: fines herbes, garlic and red pepper</t>
  </si>
  <si>
    <t>Creamy and elastic cheese, easily spreadable</t>
  </si>
  <si>
    <t>Biquet à la crème (Le)</t>
  </si>
  <si>
    <t>Plain, seasoned with tomato and thyme or chives</t>
  </si>
  <si>
    <t>Cynlindrical-shaped spreadable cheese</t>
  </si>
  <si>
    <t>Déli Chèvre (Le)</t>
  </si>
  <si>
    <t>Dried cheese cut into rounds, crumbly texture</t>
  </si>
  <si>
    <t>Crottin de chèvre Capriati</t>
  </si>
  <si>
    <t>Free of bitterness or spiciness, nutty and buttery flavours, sometimes ending in a hint of caramel</t>
  </si>
  <si>
    <t>Cheddar-type of cheese ripened</t>
  </si>
  <si>
    <t>Chèvre Noir</t>
  </si>
  <si>
    <t>Mild, slightly fruity</t>
  </si>
  <si>
    <t>Cheddar cheese type, firm but smooth texture</t>
  </si>
  <si>
    <t>Chevrino</t>
  </si>
  <si>
    <t>Soft and smooth paste, unripened</t>
  </si>
  <si>
    <t>Chèvre doux</t>
  </si>
  <si>
    <t>Sharp, goat flavour Available : plain (crottin type) or marinated in oil</t>
  </si>
  <si>
    <t>Unripened, natural rind</t>
  </si>
  <si>
    <t>Capriati</t>
  </si>
  <si>
    <t>Slightly acidulous (varieties available: plain, herb, pepper)</t>
  </si>
  <si>
    <t>Crumbly cheese when cold and smooth at room temperature</t>
  </si>
  <si>
    <t>Biquet (Le)</t>
  </si>
  <si>
    <t>Crumbly and light texture when young, becomes runny with age</t>
  </si>
  <si>
    <t>Chèvre fin</t>
  </si>
  <si>
    <t>Pronounced, mild, acidulous and salty</t>
  </si>
  <si>
    <t>Very tight paste</t>
  </si>
  <si>
    <t>Feta Tradition</t>
  </si>
  <si>
    <t>Crumbly when cold but smooth and creamy at room temperature, soft and unripened</t>
  </si>
  <si>
    <t>Médaillon et le Tournevent (Le)</t>
  </si>
  <si>
    <t>Mild and melting in the mouth</t>
  </si>
  <si>
    <t>Fresh cheese covered in seasoning</t>
  </si>
  <si>
    <t>Bouchées d'amour</t>
  </si>
  <si>
    <t>Mild and salty</t>
  </si>
  <si>
    <t>Feta cheese</t>
  </si>
  <si>
    <t>Fleur de Neige</t>
  </si>
  <si>
    <t>Smooth and moist cheese. Cheddar type cheese</t>
  </si>
  <si>
    <t>Samuel et Jérémie</t>
  </si>
  <si>
    <t>Mild to sharp, depending on age</t>
  </si>
  <si>
    <t>Cheese covered in wax, making it ripen slowly internally</t>
  </si>
  <si>
    <t>Sieur Colomban</t>
  </si>
  <si>
    <t>Mild, slight taste of hazelnut, cream and salted butter</t>
  </si>
  <si>
    <t>Pré des Mille-Îles (Le)</t>
  </si>
  <si>
    <t>Nutty and buttery</t>
  </si>
  <si>
    <t>Cheese with small eyes (holes), washed rind</t>
  </si>
  <si>
    <t>Tour St-François (La)</t>
  </si>
  <si>
    <t>Dried cheese slightly ripened, curd style, slightly brittle in texture</t>
  </si>
  <si>
    <t>Ti-Lou</t>
  </si>
  <si>
    <t>Mild, fresh, very delicate goat flavour</t>
  </si>
  <si>
    <t>Creamy, non ripened</t>
  </si>
  <si>
    <t>Petit Prince (Le)</t>
  </si>
  <si>
    <t>Mild with flavour of fresh mushrooms</t>
  </si>
  <si>
    <t>Bloomy and white rind that gives woody aromas, camembert type, creamy texture</t>
  </si>
  <si>
    <t>Lavallois (Le)</t>
  </si>
  <si>
    <t>Light and mild</t>
  </si>
  <si>
    <t>Unripened firm cheese</t>
  </si>
  <si>
    <t>Fleurs d'Ail</t>
  </si>
  <si>
    <t>Cheddar frais Le Fromage au Village</t>
  </si>
  <si>
    <t>Ripened cheddar</t>
  </si>
  <si>
    <t>Rouet</t>
  </si>
  <si>
    <t>Mild, lactic and fruity</t>
  </si>
  <si>
    <t>Cheddar type cheese, interior ripened</t>
  </si>
  <si>
    <t>Cru du Clocher (Le)</t>
  </si>
  <si>
    <t>Nutty, lactic and fruity accentuated.</t>
  </si>
  <si>
    <t>Cheddar type cheese, interior ripened.</t>
  </si>
  <si>
    <t>Cru du Clocher (Réserve 2 ans) (Le)</t>
  </si>
  <si>
    <t>Rapide Arcand (Le)</t>
  </si>
  <si>
    <t>Strong cheddar</t>
  </si>
  <si>
    <t>Chute à Michel (La)</t>
  </si>
  <si>
    <t>Extra strong cheddar</t>
  </si>
  <si>
    <t>Chute à l'Ours (La)</t>
  </si>
  <si>
    <t>Pronounced hazelnut flavor</t>
  </si>
  <si>
    <t>Chute Chaudière (La)</t>
  </si>
  <si>
    <t>Taste of butter with a slight acid touch</t>
  </si>
  <si>
    <t>Ripened, smooth and creamy texture</t>
  </si>
  <si>
    <t>St-Félicien Lac St-Jean</t>
  </si>
  <si>
    <t>Light bitter almond and milky taste</t>
  </si>
  <si>
    <t>Interior-ripened, ivory-colored, shows round holes dispersed through  the cheese</t>
  </si>
  <si>
    <t>Suisse vieilli (Fromagerie St-Fidèle)</t>
  </si>
  <si>
    <t>Suisse léger (Fromagerie St-Fidèle)</t>
  </si>
  <si>
    <t>Fresh cheese curds or rounds</t>
  </si>
  <si>
    <t>Cheddar frais (Fromagerie St-Fidèle)</t>
  </si>
  <si>
    <t>Cheddar doux (Fromagerie St-Fidèle)</t>
  </si>
  <si>
    <t>Cheddar mi-fort (Fromagerie St-Fidèle)</t>
  </si>
  <si>
    <t>Cheddar fort (Fromagerie St-Fidèle)</t>
  </si>
  <si>
    <t>Cheddar très fort (Fromagerie St-Fidèle)</t>
  </si>
  <si>
    <t>Slightly nutty with a lovely mix of port</t>
  </si>
  <si>
    <t>Ivory coloured cheese in the centre with a crimson colour on the outside created by soaking</t>
  </si>
  <si>
    <t>Suisse macéré au porto (Fromagerie St-Fidèle)</t>
  </si>
  <si>
    <t>Slightly nutty taste typical of Suisse St-Fidèle</t>
  </si>
  <si>
    <t>Ivory coloured cheese in centre and an amber colour on the outside created by soaking</t>
  </si>
  <si>
    <t>Suisse macéré au mistelle</t>
  </si>
  <si>
    <t>Slightly nutty taste typical of Suisse St-Fidèle, flavoured with apple cider</t>
  </si>
  <si>
    <t>Suisse macéré au Cidre de pommes</t>
  </si>
  <si>
    <t>Slight nutty taste and mild almond depending on age</t>
  </si>
  <si>
    <t>Suisse (Fromagerie St-Fidèle)</t>
  </si>
  <si>
    <t>Cheddar type cheese, unripened</t>
  </si>
  <si>
    <t>Cheddar Jocoeur</t>
  </si>
  <si>
    <t>Delicate, milk taste, with slightly acidulous accents</t>
  </si>
  <si>
    <t>The interior presents small holes.</t>
  </si>
  <si>
    <t>Fredondaine</t>
  </si>
  <si>
    <t>Gray and dry rind that has a mushroom aroma. Ivory colored cheese, supple and showing small holes inside</t>
  </si>
  <si>
    <t>Farandole</t>
  </si>
  <si>
    <t>Delicate nutty taste</t>
  </si>
  <si>
    <t>Natural rind, light grey colour</t>
  </si>
  <si>
    <t>Sonatine</t>
  </si>
  <si>
    <t>Subtle delicate flavor, slightly nutty</t>
  </si>
  <si>
    <t>Firm, surface ripened cheese</t>
  </si>
  <si>
    <t>Allegretto</t>
  </si>
  <si>
    <t>Mild (Available Varieties: herbs, chive, garlic, pepper)</t>
  </si>
  <si>
    <t>Smooth cheese</t>
  </si>
  <si>
    <t>Blanchon (Le)</t>
  </si>
  <si>
    <t>Mushroomy and milky taste</t>
  </si>
  <si>
    <t>Soft white and chalky cheese</t>
  </si>
  <si>
    <t>P'tit Diable</t>
  </si>
  <si>
    <t>Slightly goat, ash and fruit flavour</t>
  </si>
  <si>
    <t>Soft white and chalky cheese, ashen</t>
  </si>
  <si>
    <t>Saint-Isidore à croûte cendrée</t>
  </si>
  <si>
    <t>Delicate, mild goat flavour</t>
  </si>
  <si>
    <t>Pampille</t>
  </si>
  <si>
    <t>Mild and long lasting flavour</t>
  </si>
  <si>
    <t>Creamy and melst in your mouth cheese, bloomy rind</t>
  </si>
  <si>
    <t>P'tite Chevrette</t>
  </si>
  <si>
    <t>Mushroomy and milky flavor</t>
  </si>
  <si>
    <t>Rind unctuous to runny when aged</t>
  </si>
  <si>
    <t>Saint-Isidore à croûte fleurie</t>
  </si>
  <si>
    <t>Plain, with peppers and rosemary</t>
  </si>
  <si>
    <t>Chèvre d'Or</t>
  </si>
  <si>
    <t>Unpressed, uncooked</t>
  </si>
  <si>
    <t>Bouton de Culotte (Le)</t>
  </si>
  <si>
    <t>Pressed and cooked</t>
  </si>
  <si>
    <t>Parmesan Chèvrerie Dion</t>
  </si>
  <si>
    <t>Varieties available: plain, garlic, chives, pepper, herb.</t>
  </si>
  <si>
    <t>Délice</t>
  </si>
  <si>
    <t>P'tit féta</t>
  </si>
  <si>
    <t>Available; mild, medium and strong</t>
  </si>
  <si>
    <t>Cheddar type</t>
  </si>
  <si>
    <t>Montbeil (Le)</t>
  </si>
  <si>
    <t>White and creamy</t>
  </si>
  <si>
    <t>Roulé (Le)</t>
  </si>
  <si>
    <t>Mild and lactic (varieties available: herb, nut, spiced, pepper</t>
  </si>
  <si>
    <t>Hint of cream</t>
  </si>
  <si>
    <t>Montefino assaisonné</t>
  </si>
  <si>
    <t>Montefino frais</t>
  </si>
  <si>
    <t>Montefino affinée</t>
  </si>
  <si>
    <t>Lightly pressed</t>
  </si>
  <si>
    <t>Feta Diodati</t>
  </si>
  <si>
    <t>Moist, bloomy rind</t>
  </si>
  <si>
    <t>Caprice des Saisons</t>
  </si>
  <si>
    <t>Caprice des Cantons</t>
  </si>
  <si>
    <t>Available fine herbs, hot pepper or seasoned peppers</t>
  </si>
  <si>
    <t>Seasoned or plain curds or block, daily fresh. Slight bitter almond and milk aroma</t>
  </si>
  <si>
    <t>Cheddar Charlevoix</t>
  </si>
  <si>
    <t>Hazelnut flavour that intensifies with age.  Available; mild, medium, strong and extra strong</t>
  </si>
  <si>
    <t>Aged cheddar, smooth and crumbly texture, cream-colored</t>
  </si>
  <si>
    <t>Vieux Charlevoix</t>
  </si>
  <si>
    <t>Taste evolving without bitterness</t>
  </si>
  <si>
    <t>Pressed and cooked, interior-ripened, dark yellow color, hard and crumbly texture, melts in mouth</t>
  </si>
  <si>
    <t>Hercule de Charlevoix (L')</t>
  </si>
  <si>
    <t>Hazelnut</t>
  </si>
  <si>
    <t>1608 (Le)</t>
  </si>
  <si>
    <t>Mild, fruity and hazelnut, without a harsh aftertaste</t>
  </si>
  <si>
    <t>Creamy, rich and velvety texture</t>
  </si>
  <si>
    <t>Fleurmier de Charlevoix (Le)</t>
  </si>
  <si>
    <t>Almond taste</t>
  </si>
  <si>
    <t>Noble (Le)</t>
  </si>
  <si>
    <t>Mushroom and butter aroma.</t>
  </si>
  <si>
    <t>Creamy texture, soil aroma</t>
  </si>
  <si>
    <t>Prés de la Bayonne (Les)</t>
  </si>
  <si>
    <t>Strong taste with a long finish without bitterness.</t>
  </si>
  <si>
    <t>Pressed, fresh milk and fruity aroma</t>
  </si>
  <si>
    <t>Pré-Cieux (Le)</t>
  </si>
  <si>
    <t>Varieties available: plain, sunflower oil and herbs.</t>
  </si>
  <si>
    <t>Féta du Domaine</t>
  </si>
  <si>
    <t>Creamy. Made from Ayrshire milk cow.</t>
  </si>
  <si>
    <t>Cendré des Prés (Le)</t>
  </si>
  <si>
    <t>White cheese, moist texture</t>
  </si>
  <si>
    <t>Akawi</t>
  </si>
  <si>
    <t>Mild and salty with a light buttery flavor</t>
  </si>
  <si>
    <t>White and humid cheese with a flexible texture</t>
  </si>
  <si>
    <t>Baladi (Fromagerie Marie Kadé)</t>
  </si>
  <si>
    <t>Espagnole</t>
  </si>
  <si>
    <t>Kobrossi</t>
  </si>
  <si>
    <t>Mild and lactic</t>
  </si>
  <si>
    <t>Fresh thick white cheese</t>
  </si>
  <si>
    <t>Labneh</t>
  </si>
  <si>
    <t>Preserved in vegetable oil</t>
  </si>
  <si>
    <t>Labneh dans l'huile</t>
  </si>
  <si>
    <t>Fresh and salty taste, lactic flavor that develops itself through ripening</t>
  </si>
  <si>
    <t>Feta-like cheese</t>
  </si>
  <si>
    <t>Domiati</t>
  </si>
  <si>
    <t>Stretched and coiled up in a knot</t>
  </si>
  <si>
    <t>Moujadalé</t>
  </si>
  <si>
    <t>Mild and salty with a slight nigella taste</t>
  </si>
  <si>
    <t>White cheese, elastic and crumbly texture</t>
  </si>
  <si>
    <t>Nabulsi (Fromagerie Marie Kadé)</t>
  </si>
  <si>
    <t>White, crumbly and elastic</t>
  </si>
  <si>
    <t>Syrean</t>
  </si>
  <si>
    <t>Fresh, salty with nigella hints</t>
  </si>
  <si>
    <t>Smooth texture, preserved in brine</t>
  </si>
  <si>
    <t>Tressé (Fromagerie Marie Kadé)</t>
  </si>
  <si>
    <t>White interior folded like a book</t>
  </si>
  <si>
    <t>Halloom</t>
  </si>
  <si>
    <t>Mild to pungent, slightly salty</t>
  </si>
  <si>
    <t>No rind, crumbly</t>
  </si>
  <si>
    <t>Istambouli</t>
  </si>
  <si>
    <t>Varies according to seasoning</t>
  </si>
  <si>
    <t>Shinglish</t>
  </si>
  <si>
    <t>Available in 4 different flavors : plain, chives, spices or chocolate</t>
  </si>
  <si>
    <t>Spreadable goat's cheese</t>
  </si>
  <si>
    <t>Sainte-Rose</t>
  </si>
  <si>
    <t>Fresh cheddar, curds or blocks</t>
  </si>
  <si>
    <t>Petit Heidi du Saguenay</t>
  </si>
  <si>
    <t>Rosé du Saguenay</t>
  </si>
  <si>
    <t>Sainte-Rose lavé au vin</t>
  </si>
  <si>
    <t>Tomme des Joyeux Fromagers (La)</t>
  </si>
  <si>
    <t>Cheese curds or blocks. Daily fresh.</t>
  </si>
  <si>
    <t>Cheddar frais (Fromagerie Saint-Laurent)</t>
  </si>
  <si>
    <t>Yellow and white</t>
  </si>
  <si>
    <t>Cheddar doux (Fromagerie Saint-Laurent)</t>
  </si>
  <si>
    <t>Hazelnut flavour more pronounced than mild cheddar.</t>
  </si>
  <si>
    <t>Cheddar moyen (Fromagerie Saint-Laurent)</t>
  </si>
  <si>
    <t>More pronounced hazelnut flavor than younger cheddars</t>
  </si>
  <si>
    <t>Cheddar fort (Fromagerie Saint-Laurent)</t>
  </si>
  <si>
    <t>Fine herbs</t>
  </si>
  <si>
    <t>Cheddar aux fines herbes (Fromagerie Saint-Laurent)</t>
  </si>
  <si>
    <t>In brine</t>
  </si>
  <si>
    <t>Tortillons (Fromagerie Saint-Laurent)</t>
  </si>
  <si>
    <t>Lighter taste than cheddar</t>
  </si>
  <si>
    <t>Brick (Fromagerie Saint-Laurent)</t>
  </si>
  <si>
    <t>Hint of porto</t>
  </si>
  <si>
    <t>Cheddar au Porto (Fromagerie Saint-Laurent)</t>
  </si>
  <si>
    <t>Parmesan (Fromagerie Saint-Laurent)</t>
  </si>
  <si>
    <t>Mild flavor of cream, almond and hazelnut</t>
  </si>
  <si>
    <t>Rind in red wax</t>
  </si>
  <si>
    <t>Gouda (Fromagerie Saint-Laurent)</t>
  </si>
  <si>
    <t>Cheese with irregular holes</t>
  </si>
  <si>
    <t>Suisse (Fromagerie Saint-Laurent)</t>
  </si>
  <si>
    <t>Cheddar frais (Fromagerie des Basques)</t>
  </si>
  <si>
    <t>White, yellow or marble</t>
  </si>
  <si>
    <t>Cheddar moyen (Fromagerie des Basques)</t>
  </si>
  <si>
    <t>Hazelnut flavour</t>
  </si>
  <si>
    <t>Cheddar fort (Fromagerie des Basques)</t>
  </si>
  <si>
    <t>Cheddar extra-fort (Fromagerie des Basques)</t>
  </si>
  <si>
    <t>BBQ spices, herbs, pepper, bacon or tomato and basil</t>
  </si>
  <si>
    <t>Curds or blocks (herbs and pepper)</t>
  </si>
  <si>
    <t>Fromage frais assaisonné</t>
  </si>
  <si>
    <t>Plain, herbs or BBQ</t>
  </si>
  <si>
    <t>Fromage salé en tortillons</t>
  </si>
  <si>
    <t>Fresh cheese kept in brine for a few hours</t>
  </si>
  <si>
    <t>P'tit Basque</t>
  </si>
  <si>
    <t>Smoky flavor</t>
  </si>
  <si>
    <t>Cheddar fumé au bois d'érable</t>
  </si>
  <si>
    <t>Supple and soft cheese</t>
  </si>
  <si>
    <t>Notre-Dame-des-Neiges (Le)</t>
  </si>
  <si>
    <t>Reddish interior, very distinctive aroma</t>
  </si>
  <si>
    <t>Mackenzie (Le)</t>
  </si>
  <si>
    <t>Available plain or smoked</t>
  </si>
  <si>
    <t>Yellow-colored, tender texture</t>
  </si>
  <si>
    <t>Sieur Riou-x (Le)</t>
  </si>
  <si>
    <t>Shows smal holes. Cripsy on surface when its interior is compact and soft.</t>
  </si>
  <si>
    <t>Trois-Pistoles (Le)</t>
  </si>
  <si>
    <t>Distinctive flavour with fruity notes</t>
  </si>
  <si>
    <t>L'Héritage</t>
  </si>
  <si>
    <t>Cheese with irregular holes, washed rind</t>
  </si>
  <si>
    <t>Suisse (Fromagerie des Basques)</t>
  </si>
  <si>
    <t>Also available seasoned with organic garlic flower</t>
  </si>
  <si>
    <t>Cheddar type firm cheese</t>
  </si>
  <si>
    <t>Troubadour (Le)</t>
  </si>
  <si>
    <t>Cream, hazelnut, flowers and smoky flavor</t>
  </si>
  <si>
    <t>Pressed and cooked, golden to copper-colored rind</t>
  </si>
  <si>
    <t>Ménestrel (Le)</t>
  </si>
  <si>
    <t>Vegetables, mushroom, cut herbs and damp wood aromas</t>
  </si>
  <si>
    <t>White and gray bloom on its rind, cylindrical shape, slightly crumbly and melting texture</t>
  </si>
  <si>
    <t>Fleuron (Le)</t>
  </si>
  <si>
    <t>Pink-orangey washed rind, partly covered with a white to gray indigenous penicillium</t>
  </si>
  <si>
    <t>Fou du Roy (Le)</t>
  </si>
  <si>
    <t>Lively creamy flavor. Fresh mushrooms and caramel aromas</t>
  </si>
  <si>
    <t>Dark rind</t>
  </si>
  <si>
    <t>Rassembleu (Le)</t>
  </si>
  <si>
    <t>Available : cheese rounds or curds</t>
  </si>
  <si>
    <t>Fromage en grains ou en meule</t>
  </si>
  <si>
    <t>Creamy cheese. Made from Ayrshire's cow milk.</t>
  </si>
  <si>
    <t>Desneiges (Le)</t>
  </si>
  <si>
    <t>Orange rind washed with salty water. Made from Ayrshire milk cow.</t>
  </si>
  <si>
    <t>Bouton d'Or (Le)</t>
  </si>
  <si>
    <t>Mild and creamy, slightly acid, slight goat flavour</t>
  </si>
  <si>
    <t>Soft cheese, white to yellowy natural rind, chalky and unctuous texture</t>
  </si>
  <si>
    <t>Jac le Chevrier</t>
  </si>
  <si>
    <t>White, creamy and thick</t>
  </si>
  <si>
    <t>Labneh (Fromagerie Polyethnique)</t>
  </si>
  <si>
    <t>Labneh léger (Fromagerie Polyethnique)</t>
  </si>
  <si>
    <t>Compact, unripened</t>
  </si>
  <si>
    <t>Akawie léger (Fromagerie Polyethnique)</t>
  </si>
  <si>
    <t>Mild, lactic and slightly salted</t>
  </si>
  <si>
    <t>White cheese, folded like a book</t>
  </si>
  <si>
    <t>Haloumi (Fromagerie Polyethnique)</t>
  </si>
  <si>
    <t>Fresh, lime, slightly salty</t>
  </si>
  <si>
    <t>No rind, soft compact block</t>
  </si>
  <si>
    <t>Baladi (Fromagerie Polyethnique)</t>
  </si>
  <si>
    <t>Akawie (Fromagerie Polyethnique)</t>
  </si>
  <si>
    <t>Thread-like cheese stored in salt water</t>
  </si>
  <si>
    <t>Tressé (Fromagerie Polyethnique)</t>
  </si>
  <si>
    <t>Mild, fresh, salty and slightly spicy</t>
  </si>
  <si>
    <t>Nabulsi (Fromagerie Polyethnique)</t>
  </si>
  <si>
    <t>Mild and creamy taste. Available flavors : fine herbs, tomato and basil or spicy.</t>
  </si>
  <si>
    <t>Cream-colored or colored. Smooth and supple texture</t>
  </si>
  <si>
    <t>Cheddar assaisonné St-Guillaume</t>
  </si>
  <si>
    <t>Mild and creamy flavor, hazelnut taste, buttery aroma</t>
  </si>
  <si>
    <t>Creamy-colored or colored. Smooth and supple texture.</t>
  </si>
  <si>
    <t>Cheddar doux St-Guillaume</t>
  </si>
  <si>
    <t>Mild and creamy flavor</t>
  </si>
  <si>
    <t>Creamy-coloured, supple and smooth texture. Cheese curds or blocks.</t>
  </si>
  <si>
    <t>Cheddar frais St-Guillaume</t>
  </si>
  <si>
    <t>A little dryer than mild cheddar</t>
  </si>
  <si>
    <t>Cheddar mi-fort St-Guillaume</t>
  </si>
  <si>
    <t>Sharp nutty flavor, almond and butter aroma</t>
  </si>
  <si>
    <t>Brittle and crumbly texture</t>
  </si>
  <si>
    <t>Cheddar fort St-Guillaume</t>
  </si>
  <si>
    <t>Crumbly and brittle texture</t>
  </si>
  <si>
    <t>Cheddar extra-fort St-Guillaume</t>
  </si>
  <si>
    <t>Salty. Also available : BBQ flavor</t>
  </si>
  <si>
    <t>Cream-colored or colored. Unripened and unpressed. Preserved in brine.</t>
  </si>
  <si>
    <t>St-Tordu</t>
  </si>
  <si>
    <t>Very mild</t>
  </si>
  <si>
    <t>Creamy and elastic texture, irregularly prickled with small holes</t>
  </si>
  <si>
    <t>Brick St-Guillaume</t>
  </si>
  <si>
    <t>Very light hazelnut taste, slightly sour</t>
  </si>
  <si>
    <t>Light yellow with soft texture</t>
  </si>
  <si>
    <t>Monterey Jack St-Guillaume</t>
  </si>
  <si>
    <t>Taste reminiscent of Emmental but less pronounced, delicate taste of sugared almonds</t>
  </si>
  <si>
    <t>Shiny, soft cheese, no rind. Round "eyes", distributed throughout interior.</t>
  </si>
  <si>
    <t>Suisse St-Guillaume</t>
  </si>
  <si>
    <t>Unsalted, the acid is conterbalanced by the taste of cream, slight goat flavour</t>
  </si>
  <si>
    <t>White cheese with a smooth and creamy texture</t>
  </si>
  <si>
    <t>Cabrita</t>
  </si>
  <si>
    <t>Fruity notes with a finish of hints of spice</t>
  </si>
  <si>
    <t>Amber-colored rind, golden interior with small holes.</t>
  </si>
  <si>
    <t>Dame de Coeur  (La)</t>
  </si>
  <si>
    <t>Woody notes</t>
  </si>
  <si>
    <t>Semi-soft and unctuous cheese, golden rind</t>
  </si>
  <si>
    <t>Mistouk (Le)</t>
  </si>
  <si>
    <t>Fruity and almond hints</t>
  </si>
  <si>
    <t>Piekouagami (Le)</t>
  </si>
  <si>
    <t>Fresh hazelnut flavor</t>
  </si>
  <si>
    <t>Camembert-type cheese with a bloomy rind. Smooth and unctuous texture.</t>
  </si>
  <si>
    <t>Saint-Coeur-de-Marie</t>
  </si>
  <si>
    <t>Smooth and creamy textured cheddar</t>
  </si>
  <si>
    <t>Froméga</t>
  </si>
  <si>
    <t>Crabapple and butter flavors, well balanced</t>
  </si>
  <si>
    <t>Rind color of copper, its interior is golden-ivory-colored, fruity aroma</t>
  </si>
  <si>
    <t>Raclette de Compton</t>
  </si>
  <si>
    <t>Bloomy and nutty</t>
  </si>
  <si>
    <t>Orange-colored rind, woody smell, flexible texture</t>
  </si>
  <si>
    <t>Alfred Le Fermier</t>
  </si>
  <si>
    <t>Lactic taste</t>
  </si>
  <si>
    <t>Also colored or marbled</t>
  </si>
  <si>
    <t>Cheddar doux (l'Ancêtre)</t>
  </si>
  <si>
    <t>Lactic</t>
  </si>
  <si>
    <t>Cheddar moyen (l'Ancêtre)</t>
  </si>
  <si>
    <t>Cheddar fort  (l'Ancêtre)</t>
  </si>
  <si>
    <t>Cheddar extra-fort (l'Ancêtre)</t>
  </si>
  <si>
    <t>Delicate taste of milk and butter, slightly acid</t>
  </si>
  <si>
    <t>Elastic, soft, supple, fibrous and slightly crunchy texture</t>
  </si>
  <si>
    <t>Mozzarella 15% (l'Ancêtre)</t>
  </si>
  <si>
    <t>Rich flavour of hazelnut with a hint of saltiness</t>
  </si>
  <si>
    <t>Parmesan (l'Ancêtre)</t>
  </si>
  <si>
    <t>Emmental (l'Ancêtre)</t>
  </si>
  <si>
    <t>Mozzarella 20% (l'Ancêtre)</t>
  </si>
  <si>
    <t>Frugal</t>
  </si>
  <si>
    <t>Acidulous</t>
  </si>
  <si>
    <t>Crumbly and soft texture, whitish</t>
  </si>
  <si>
    <t>Ricotta (l'Ancêtre)</t>
  </si>
  <si>
    <t>Hazelnut taste that sharpens with age. Available: mild, medium, strong, extra-strong 1 year, 2 years and 3 years</t>
  </si>
  <si>
    <t>Cheddar (Biobio) - 1 year, 2 years and 3 years</t>
  </si>
  <si>
    <t>Light milk and butter taste, hardly acidulous</t>
  </si>
  <si>
    <t>Biobio Mozzarella</t>
  </si>
  <si>
    <t>Mild cheddar taste</t>
  </si>
  <si>
    <t>Biobio fromage 7%</t>
  </si>
  <si>
    <t>Rich, nutty, robust, sharp taste, rather salty</t>
  </si>
  <si>
    <t>Parmesan (Biobio)</t>
  </si>
  <si>
    <t>Pronounced nutty taste, mild and melt-in-the-mouth, slightly sweet</t>
  </si>
  <si>
    <t>Suisse (Biobio)</t>
  </si>
  <si>
    <t>Fresh cream with a hint of hazelnut</t>
  </si>
  <si>
    <t>Self-colored chalky and creamy texture</t>
  </si>
  <si>
    <t>Attrape-Cœur (L')</t>
  </si>
  <si>
    <t>Available with 8 different seasonings : crushed pepper, ground pepper, garlic, jalapenos, garlic and chives, italian, fine herbs and vegetables</t>
  </si>
  <si>
    <t>Cheddar frais (Fromagerie du Matin)</t>
  </si>
  <si>
    <t>Distinct flavor</t>
  </si>
  <si>
    <t>white, slices nicely</t>
  </si>
  <si>
    <t>Mild Goat Cheese</t>
  </si>
  <si>
    <t>Mild, slightly nutty taste</t>
  </si>
  <si>
    <t>Edam (Bothwell)</t>
  </si>
  <si>
    <t>Midly spicy, exotic flavour</t>
  </si>
  <si>
    <t>Madgascar Green Peppercorn</t>
  </si>
  <si>
    <t>Inferno finish</t>
  </si>
  <si>
    <t>Red Hot Chili Pepper Jack</t>
  </si>
  <si>
    <t>Earthy, complex flavour with a rich, smooth finish</t>
  </si>
  <si>
    <t>Black Truffle</t>
  </si>
  <si>
    <t>Mozzarella (Bothwell)</t>
  </si>
  <si>
    <t>Flavour is sharp and piquant</t>
  </si>
  <si>
    <t>Hard cheese with a granular interior and hard brittle rind</t>
  </si>
  <si>
    <t>Romano (Thornloe)</t>
  </si>
  <si>
    <t>Slightly sharp cheese with fruity flavor</t>
  </si>
  <si>
    <t>Granular interior full of small holes</t>
  </si>
  <si>
    <t>Asiago (Thornloe)</t>
  </si>
  <si>
    <t>Asadero</t>
  </si>
  <si>
    <t>Burrata</t>
  </si>
  <si>
    <t>Santa Lucia Goat Cheese</t>
  </si>
  <si>
    <t>Santa Lucia Goat Cheese Brie</t>
  </si>
  <si>
    <t>Ranchero Fresh Cheese</t>
  </si>
  <si>
    <t>Santa Lucia Tuma</t>
  </si>
  <si>
    <t>slightly salty and pleasantly sour taste</t>
  </si>
  <si>
    <t>Queijo do Pico</t>
  </si>
  <si>
    <t>Mild, medium ,old, old white, marble</t>
  </si>
  <si>
    <t>Cheddar (Farmers Dairy)</t>
  </si>
  <si>
    <t>Sharp, tangy and slighty salty</t>
  </si>
  <si>
    <t>Blue Cheese (Rosenborg)</t>
  </si>
  <si>
    <t>Slightly more salty taste and firmer texture than the blue cheese</t>
  </si>
  <si>
    <t>Gorgonzola (Castello)</t>
  </si>
  <si>
    <t>Bocconcini (International Cheese)</t>
  </si>
  <si>
    <t>Sweet flavour, with hints of nuts and fruit</t>
  </si>
  <si>
    <t>A hard cheese modeled after an Italian Piave with a dense grainy texture.</t>
  </si>
  <si>
    <t>Mountain Grana</t>
  </si>
  <si>
    <t>A firm cheese with mild earthy notes, a subtle creamy texture, and a pale golden interior.</t>
  </si>
  <si>
    <t>Nostrala "Of This Place"</t>
  </si>
  <si>
    <t>Smooth nut flavour</t>
  </si>
  <si>
    <t>It exhibits a smooth nut flavour, a complex finish, a rich golden interior and a dark textured rind.</t>
  </si>
  <si>
    <t>Alpindon "Gift Of The Alpine"</t>
  </si>
  <si>
    <t>Full bodied flavours with a bite a the end.</t>
  </si>
  <si>
    <t>Made with vegetarian-friendly microbial enzyme (binding cloth rubbed in lard).</t>
  </si>
  <si>
    <t>Avonlea Clothbound Cheddar</t>
  </si>
  <si>
    <t>-</t>
  </si>
  <si>
    <t>100% whole milk is used in the manufacturing of our traditional cheese. Cheddars are naturally aged in underground storages.</t>
  </si>
  <si>
    <t>Jensen Cheese (Wilton Cheese Factory)</t>
  </si>
  <si>
    <t>Belle du Jersey (La)</t>
  </si>
  <si>
    <t>Berger du Fjord (Le)</t>
  </si>
  <si>
    <t>Granular cheese, with numerous little crevices.</t>
  </si>
  <si>
    <t>Jersey du Fjord</t>
  </si>
  <si>
    <t>Chénéville</t>
  </si>
  <si>
    <t>Salted, oil with Provence herbs and black pepper.</t>
  </si>
  <si>
    <t>Bergeronds dans l'huile (Les)</t>
  </si>
  <si>
    <t>Light taste of goat, butter and cream.</t>
  </si>
  <si>
    <t>Agate de St-Damien (L')</t>
  </si>
  <si>
    <t>Brie de chèvre</t>
  </si>
  <si>
    <t>Flavours of fresh goat milk, fine and subtle and slightly tart. Available plain, olive oil and garlic, rosemary, tellicherry pepper and lemongrass, unsalted.</t>
  </si>
  <si>
    <t>White cheese, creamy and silky texture.</t>
  </si>
  <si>
    <t>Fromage Chèvre frais</t>
  </si>
  <si>
    <t>Mild and lightly salted.</t>
  </si>
  <si>
    <t>Féta (Mes Petits Caprices)</t>
  </si>
  <si>
    <t>Mild, light hint of goat.</t>
  </si>
  <si>
    <t>Micherolle</t>
  </si>
  <si>
    <t>Mild and floral taste becoming sharper with age</t>
  </si>
  <si>
    <t>Bûchette et Pyramide Mes Petits Caprices</t>
  </si>
  <si>
    <t>Mild and delicate, becomes slightly tart over time.</t>
  </si>
  <si>
    <t>Péningouin (Le)</t>
  </si>
  <si>
    <t>Delicate taste of wild mushrooms.</t>
  </si>
  <si>
    <t>Supple and creamy, with an amber rind and a light earthy odor.</t>
  </si>
  <si>
    <t>Bocké (Le)</t>
  </si>
  <si>
    <t>Agnelle de Bayolle</t>
  </si>
  <si>
    <t>Capri-Corne</t>
  </si>
  <si>
    <t>Plain or fine herbs</t>
  </si>
  <si>
    <t>Cheddar La Galipette</t>
  </si>
  <si>
    <t>Marie-Charlotte</t>
  </si>
  <si>
    <t>Mon précieux</t>
  </si>
  <si>
    <t>Tomme de brebis (Fromagerie Couland)</t>
  </si>
  <si>
    <t>Petite Chevrette (La)</t>
  </si>
  <si>
    <t>Plain</t>
  </si>
  <si>
    <t>Brebiane</t>
  </si>
  <si>
    <t>Plain, fine herbs or spices</t>
  </si>
  <si>
    <t>Prés de Kildare</t>
  </si>
  <si>
    <t>St-Émile</t>
  </si>
  <si>
    <t>Ste-Geneviève</t>
  </si>
  <si>
    <t>Ste-Élisabeth</t>
  </si>
  <si>
    <t>Grain de Bayonne</t>
  </si>
  <si>
    <t>Barthélemy (Le)</t>
  </si>
  <si>
    <t>Tomme Ferlend</t>
  </si>
  <si>
    <t>Plain, herbs or spices</t>
  </si>
  <si>
    <t>Fridolines</t>
  </si>
  <si>
    <t>Grain caprin</t>
  </si>
  <si>
    <t>Plain, fine herbs, spices</t>
  </si>
  <si>
    <t>Joséphines</t>
  </si>
  <si>
    <t>Plain, chive, fine herbs or spices</t>
  </si>
  <si>
    <t>Cheddar (Fromagerie Couland)</t>
  </si>
  <si>
    <t>Light</t>
  </si>
  <si>
    <t>Saint-Paulin (Des Basques)</t>
  </si>
  <si>
    <t>Fruit and hazelnut</t>
  </si>
  <si>
    <t>Vegetable ash that goes through the center of the cheese.</t>
  </si>
  <si>
    <t>Sirocco</t>
  </si>
  <si>
    <t>Cream and green apple</t>
  </si>
  <si>
    <t>Guillaume Tell (Le)</t>
  </si>
  <si>
    <t>Raclette de Joliette (La)</t>
  </si>
  <si>
    <t>Very soft and light, comparable to a brie.</t>
  </si>
  <si>
    <t>Perle du Littoral (La)</t>
  </si>
  <si>
    <t>Rayon d'or</t>
  </si>
  <si>
    <t>Light taste of butter</t>
  </si>
  <si>
    <t>Caprice des vents</t>
  </si>
  <si>
    <t>Ash rind with a chalky and creamy texture</t>
  </si>
  <si>
    <t>Grey Owl</t>
  </si>
  <si>
    <t>Fresh cheddar, in blocks or with grains</t>
  </si>
  <si>
    <t>Cheddar en grains (SCA L'île-aux-Grues)</t>
  </si>
  <si>
    <t>Myzithra</t>
  </si>
  <si>
    <t>Hazelnut, fruity</t>
  </si>
  <si>
    <t>Louis d'Or</t>
  </si>
  <si>
    <t>Taste of lightly sweetened goat's milk.</t>
  </si>
  <si>
    <t>Moutier (Le)</t>
  </si>
  <si>
    <t>Fresh milk and butter flavour.</t>
  </si>
  <si>
    <t>Ange Gardien (L')</t>
  </si>
  <si>
    <t>Rose Haus</t>
  </si>
  <si>
    <t>Creamy and fresh, this delicious locally-made cheese offers the traditional taste of Italy.</t>
  </si>
  <si>
    <t>Buffalo Cow</t>
  </si>
  <si>
    <t>Mozzarina di Bufala</t>
  </si>
  <si>
    <t>Fresh, rich milky taste</t>
  </si>
  <si>
    <t>Pasta filata cheese, smooth and creamy texture</t>
  </si>
  <si>
    <t>Bocconcini (Fiorella)</t>
  </si>
  <si>
    <t>A white, rich and creamy body</t>
  </si>
  <si>
    <t>Chèvre des Neiges (brie triple crème)</t>
  </si>
  <si>
    <t>Available in plain, Peppadew and garlic and fine herbs</t>
  </si>
  <si>
    <t>Soft spreadable cheese</t>
  </si>
  <si>
    <t>Caprichef</t>
  </si>
  <si>
    <t>Fresh butter, nut and corn taste</t>
  </si>
  <si>
    <t>Camarades (Des)</t>
  </si>
  <si>
    <t>A delicate and fruit flavoured</t>
  </si>
  <si>
    <t>Small holes in the body</t>
  </si>
  <si>
    <t>Tilsit</t>
  </si>
  <si>
    <t>It's lightly salty and tangy taste gives it a distinct flavour</t>
  </si>
  <si>
    <t>I'ts whitish body is soft, creamy, fine in texture and crumbly.  It comes immersed in a brine solution</t>
  </si>
  <si>
    <t>Feta de chèvre (Alexis de Portneuf)</t>
  </si>
  <si>
    <t>Slightly salty and tangy taste</t>
  </si>
  <si>
    <t>Pâte blanchâtre douce, crémeuse, finement texturée et friable, immergé dans la saumure</t>
  </si>
  <si>
    <t>Feta de brebis (Alexis de Portneuf)</t>
  </si>
  <si>
    <t>Fresh subtle taste of oriental spices and exotic flavourings</t>
  </si>
  <si>
    <t>It is quite firm and dense, not very porous and milky white in color</t>
  </si>
  <si>
    <t>doré-mi</t>
  </si>
  <si>
    <t>A hazelnut taste accompanied by a woody fruity touch</t>
  </si>
  <si>
    <t>Orangy-red, hardly moist rind and a supple ivory body</t>
  </si>
  <si>
    <t>Saint-Raymond (Le)</t>
  </si>
  <si>
    <t>Fresh butter taste with a hint of mushrooms</t>
  </si>
  <si>
    <t>Cheese with a moist and supple rind that ripens from the outside in and a runny ivory body</t>
  </si>
  <si>
    <t>Sauvagine (La)</t>
  </si>
  <si>
    <t>An ivory coloured cheese delicately laced with Penicillium Roqueforti and covered in a white coat</t>
  </si>
  <si>
    <t>Caronzola</t>
  </si>
  <si>
    <t>Delicate blue taste and creamy flavour</t>
  </si>
  <si>
    <t>Creamy and supple unique textured blue-veined body</t>
  </si>
  <si>
    <t>Météorite</t>
  </si>
  <si>
    <t>A strong blue</t>
  </si>
  <si>
    <t>A firm cheese with delicate blue veins of Penicillium roqueforti and a melt in your mouth quality</t>
  </si>
  <si>
    <t>Roche Noire (La)</t>
  </si>
  <si>
    <t>Has a nut taste</t>
  </si>
  <si>
    <t>Smooth and flexible surface with round eyes distributed in the body</t>
  </si>
  <si>
    <t>Emmental St-Guillaume</t>
  </si>
  <si>
    <t>Strong notes of butter and caramel</t>
  </si>
  <si>
    <t>Surface ripened, it has a supple and smooth texture</t>
  </si>
  <si>
    <t>Cantolait</t>
  </si>
  <si>
    <t>Flavours of warm cream with a vegetable note</t>
  </si>
  <si>
    <t>Has a smooth, melting paste</t>
  </si>
  <si>
    <t>Brie Paysan</t>
  </si>
  <si>
    <t>Exquisite creamy mushroom flavor</t>
  </si>
  <si>
    <t>Melting paste</t>
  </si>
  <si>
    <t>Laliberté (triple crème)</t>
  </si>
  <si>
    <t>A complexity of flavours ranging form salty to sweet and an overall tangy freshness with a creamy finish</t>
  </si>
  <si>
    <t>Has a creamy, smooth texture</t>
  </si>
  <si>
    <t>Devil's Rock (Creamy Blue Cheese)</t>
  </si>
  <si>
    <t>Creamy sharp taste</t>
  </si>
  <si>
    <t>Creamy cheese marbled with rich blue veins</t>
  </si>
  <si>
    <t>Casey (Blue Cheese)</t>
  </si>
  <si>
    <t>Sharp taste</t>
  </si>
  <si>
    <t>Is a goat cheese with blue veining</t>
  </si>
  <si>
    <t>Harley (Blue Goat Cheese)</t>
  </si>
  <si>
    <t>Has a sharp robust flavour</t>
  </si>
  <si>
    <t>Creamy white body</t>
  </si>
  <si>
    <t>Charlton</t>
  </si>
  <si>
    <t>Creamy mushroom flavour</t>
  </si>
  <si>
    <t>Has a striking streak of vegetable ash running through it</t>
  </si>
  <si>
    <t>Evanturel</t>
  </si>
  <si>
    <t>Flavourful cheese that is slightly sharp, yet mellow and creamy</t>
  </si>
  <si>
    <t>Has a golden yellow body with small eyes</t>
  </si>
  <si>
    <t>Temiskaming</t>
  </si>
  <si>
    <t>It comes in plain, mango chutney and pesto</t>
  </si>
  <si>
    <t>Soft and spreadable goat cheese</t>
  </si>
  <si>
    <t>Goat Cups (Celebrity International)</t>
  </si>
  <si>
    <t>Mediterranean style</t>
  </si>
  <si>
    <t>Goat Feta (Celebrity International)</t>
  </si>
  <si>
    <t>Goat Mozzarella (Celebrity Interantional)</t>
  </si>
  <si>
    <t>Creamy lactic flavour</t>
  </si>
  <si>
    <t>Métayères (Les)</t>
  </si>
  <si>
    <t>Fruit and nut flavour</t>
  </si>
  <si>
    <t>Amateur (L')</t>
  </si>
  <si>
    <t>It comes in the following flavors: plain, herbed or roasted red peppers</t>
  </si>
  <si>
    <t>Cream cheese</t>
  </si>
  <si>
    <t>Petite Folie (La)</t>
  </si>
  <si>
    <t>Butter flavour</t>
  </si>
  <si>
    <t>Tentation de Laurier (La)</t>
  </si>
  <si>
    <t>A mild taste of almonds</t>
  </si>
  <si>
    <t>Tomme de Monsieur Séguin (La)</t>
  </si>
  <si>
    <t>A hazelnut and salted butter flavour</t>
  </si>
  <si>
    <t>Vacherin Fri-Charco</t>
  </si>
  <si>
    <t>Mild cheese with a fresh creme taste</t>
  </si>
  <si>
    <t>Melting texture</t>
  </si>
  <si>
    <t>Angelus</t>
  </si>
  <si>
    <t>Varies from one season to the next</t>
  </si>
  <si>
    <t>Silky paste softens with time and its rind may show a dot of blue on the surface</t>
  </si>
  <si>
    <t>Pont Blanc (Le)</t>
  </si>
  <si>
    <t>Grand Cheddar Réserve Spéciale</t>
  </si>
  <si>
    <t>Brie 4 Temps</t>
  </si>
  <si>
    <t>Camembert Petit Champlain (Le)</t>
  </si>
  <si>
    <t>Farm cream taste</t>
  </si>
  <si>
    <t>Inspiré</t>
  </si>
  <si>
    <t>Cheddar Littoral</t>
  </si>
  <si>
    <t>Mild flavour of scapes</t>
  </si>
  <si>
    <t>Keeps it's initial shape and does not melt.</t>
  </si>
  <si>
    <t>Fleur Saint-Michel</t>
  </si>
  <si>
    <t>Mild cheddar seasoned with fine herbs</t>
  </si>
  <si>
    <t>Honfleur</t>
  </si>
  <si>
    <t>Mild cheddar smoked with maple wood</t>
  </si>
  <si>
    <t>P'tit Bronzé</t>
  </si>
  <si>
    <t>St-Charles</t>
  </si>
  <si>
    <t>Keeps it's original shape and does not melt</t>
  </si>
  <si>
    <t>St-Valier (Le)</t>
  </si>
  <si>
    <t>Subtle butter and almond flavours</t>
  </si>
  <si>
    <t>This supple cheese is ivory coloured and has a pleasing elaticity</t>
  </si>
  <si>
    <t>ChamPaître (Le)</t>
  </si>
  <si>
    <t>Fruity flavour compemented by hint of sugar and hazelnut</t>
  </si>
  <si>
    <t>La croûte est de couleur blé, sa pâte est souple et parsemée de petits yeux ronds</t>
  </si>
  <si>
    <t>Clef des Champs (La)</t>
  </si>
  <si>
    <t>It's flavour is reminiscent of Parmesan and Emmental cheeses, with a slightly citrusy aftertaste</t>
  </si>
  <si>
    <t>It's texture is elastic and the rind is caramel coloured</t>
  </si>
  <si>
    <t>Roy Léo</t>
  </si>
  <si>
    <t>Hints of fresh cream and salted butter, with a flavour of black olives</t>
  </si>
  <si>
    <t>Ste-Anne</t>
  </si>
  <si>
    <t>Available in the folowing flavours: scapes, dried tomatoes and basil and spices</t>
  </si>
  <si>
    <t>Normandinoise (Le)</t>
  </si>
  <si>
    <t>Roméo (Le)</t>
  </si>
  <si>
    <t>Distinct floral and fruity aromas</t>
  </si>
  <si>
    <t>Chemin Hatley</t>
  </si>
  <si>
    <t>Aroma of crab apples and butter</t>
  </si>
  <si>
    <t>Copper coloured with an ivory-gold interior</t>
  </si>
  <si>
    <t>Comtomme</t>
  </si>
  <si>
    <t>Fresh buttery taste with a touch of tartness</t>
  </si>
  <si>
    <t>Dense white rind with a creamy, runny texture</t>
  </si>
  <si>
    <t>Mélo Dieux (Le)</t>
  </si>
  <si>
    <t>Mild salty, buttery taste</t>
  </si>
  <si>
    <t>Supple, ivry coloured with a pink waxed rind</t>
  </si>
  <si>
    <t>Rose</t>
  </si>
  <si>
    <t>Mild flavour of hazelnuts, mushrooms and butter</t>
  </si>
  <si>
    <t>Brie Mont-Laurier</t>
  </si>
  <si>
    <t>Light nutty flavour</t>
  </si>
  <si>
    <t>Voyageur (Le)</t>
  </si>
  <si>
    <t>Fruity taste</t>
  </si>
  <si>
    <t>Pâturage (le)</t>
  </si>
  <si>
    <t>Belle-Mère (La)</t>
  </si>
  <si>
    <t>Cabrouet (Le)</t>
  </si>
  <si>
    <t>Belle Brune de Charlevoix</t>
  </si>
  <si>
    <t>Soft orange colour with a smooth and creamy texture</t>
  </si>
  <si>
    <t>Oh Chiiz</t>
  </si>
  <si>
    <t>Subtle buttery flavour</t>
  </si>
  <si>
    <t>Polichinel (Le)</t>
  </si>
  <si>
    <t>Bocconcini (Franco's Brand)</t>
  </si>
  <si>
    <t>Butter tast with a light touch of goat cream</t>
  </si>
  <si>
    <t>Made from 50% goat milk and 50% cow milk</t>
  </si>
  <si>
    <t>Double Joie (Le)</t>
  </si>
  <si>
    <t>Hazelnut flavour with a hint of fruit and cream</t>
  </si>
  <si>
    <t>It has a thin ochre coloured crust and ivory body</t>
  </si>
  <si>
    <t>Canotier de l'Isle</t>
  </si>
  <si>
    <t>Tomme au Poivre</t>
  </si>
  <si>
    <t>Vlimeux (Le)</t>
  </si>
  <si>
    <t>Bûchette de Chèvre (La)</t>
  </si>
  <si>
    <t>Cheddar Chèvre (Le)</t>
  </si>
  <si>
    <t>Chèvrai (Le)</t>
  </si>
  <si>
    <t>Availble in roasted red peppers or cranberry and porto</t>
  </si>
  <si>
    <t>Élite (L')</t>
  </si>
  <si>
    <t>Salty flavour</t>
  </si>
  <si>
    <t>Féta de Chèvre (Le)</t>
  </si>
  <si>
    <t>Mozzarella Chèvre (Le)</t>
  </si>
  <si>
    <t>Allegretto (Le)</t>
  </si>
  <si>
    <t>Fumambule (Le)</t>
  </si>
  <si>
    <t>Cow, Goat and Ewe</t>
  </si>
  <si>
    <t>Grand Manitou (Le)</t>
  </si>
  <si>
    <t>Boucané (Le)</t>
  </si>
  <si>
    <t>Tomme du Draveur (La)</t>
  </si>
  <si>
    <t>Gaulois de Portneuf (Le)</t>
  </si>
  <si>
    <t>Manchebello</t>
  </si>
  <si>
    <t>Rébellion 1837</t>
  </si>
  <si>
    <t>Cheese curds</t>
  </si>
  <si>
    <t>Fromage (Montebello)</t>
  </si>
  <si>
    <t>Tête à Papineau</t>
  </si>
  <si>
    <t>20 Vaches (Le)</t>
  </si>
  <si>
    <t>Ma Manière (Le)</t>
  </si>
  <si>
    <t>Available in Cumin and jalapino spices</t>
  </si>
  <si>
    <t>Farm Cheese</t>
  </si>
  <si>
    <t>Sheep In The Meadow (Best Baa Dairy)</t>
  </si>
  <si>
    <t>Quark (Best Baa Dairy)</t>
  </si>
  <si>
    <t>Mozarella (Franco's Brand)</t>
  </si>
  <si>
    <t>Provoletta (Franco's Brand)</t>
  </si>
  <si>
    <t>Muenster (Bothwell)</t>
  </si>
  <si>
    <t>Available smoked</t>
  </si>
  <si>
    <t>Courtenay Cheddar</t>
  </si>
  <si>
    <t>Fior di Latte (Natural Pastures Cheese Company)</t>
  </si>
  <si>
    <t>Swiss (Central Dairies)</t>
  </si>
  <si>
    <t>Cheddar (Tres Stelle)</t>
  </si>
  <si>
    <t>Edam (Tres Stelle)</t>
  </si>
  <si>
    <t>Fruilano (Tres Stelle)</t>
  </si>
  <si>
    <t>Goat Cheese (Tres Stelle)</t>
  </si>
  <si>
    <t>Montasio (Tres Stelle)</t>
  </si>
  <si>
    <t>Romano (Tres Stelle)</t>
  </si>
  <si>
    <t>Rivière Rouge d'Oka</t>
  </si>
  <si>
    <t>Seigneurie du Lac-des-Deux-Montagnes (La) d'Oka</t>
  </si>
  <si>
    <t>Tomme des Cantons (Fromagerie 1860 Du Village) Saputo</t>
  </si>
  <si>
    <t>Trappeur (Le) Camembert Double crème</t>
  </si>
  <si>
    <t>Trappeur (Le) Brie Double crème</t>
  </si>
  <si>
    <t>Quark cheese (Damafro)</t>
  </si>
  <si>
    <t>Manoir (Le) Brie Double crème</t>
  </si>
  <si>
    <t>Crémeux (Le)</t>
  </si>
  <si>
    <t>Fruitier de Montérégie</t>
  </si>
  <si>
    <t>Coeur de Brie</t>
  </si>
  <si>
    <t>Swiss (Farmers Cooperative Dairy)</t>
  </si>
  <si>
    <t>Aged Farmhouse</t>
  </si>
  <si>
    <t>Brie Marie-Charlotte</t>
  </si>
  <si>
    <t>Grilling cheese</t>
  </si>
  <si>
    <t>Démon (Le)</t>
  </si>
  <si>
    <t>Paysanne (La)</t>
  </si>
  <si>
    <t>Du Charme</t>
  </si>
  <si>
    <t>Fresh butter and almond</t>
  </si>
  <si>
    <t>Tremblay (Le)</t>
  </si>
  <si>
    <t>Fruity sharp taste</t>
  </si>
  <si>
    <t>Parmesan Rivièra</t>
  </si>
  <si>
    <t>Origine de Charevoix (L')</t>
  </si>
  <si>
    <t>Tomme de Brebis de Charlevoix</t>
  </si>
  <si>
    <t>Bleu de Brebis de Charlevoix (Le)</t>
  </si>
  <si>
    <t>Saveur de noisette</t>
  </si>
  <si>
    <t>Parmadammer</t>
  </si>
  <si>
    <t>Light taste, a caramel like flavor, with a mild saltiness</t>
  </si>
  <si>
    <t>Cream colored body with a smooth, firm texture</t>
  </si>
  <si>
    <t>Golden Blyth</t>
  </si>
  <si>
    <t>It has a light fruity flavor which becomes more pronounced with time.  It is also available in cumin, pepper and mustard flavor.</t>
  </si>
  <si>
    <t>It is a semi-soft cheese with a brushed natural rind.</t>
  </si>
  <si>
    <t>Tomme Blanche</t>
  </si>
  <si>
    <t>Mild, light and delicate taste of mushrooms and nuts.</t>
  </si>
  <si>
    <t>Tintamarre (Le)</t>
  </si>
  <si>
    <t>Light nutty flavor becoming drier and sharper with age</t>
  </si>
  <si>
    <t>It's bloomy ivory rind can become spekled with blue when aging.</t>
  </si>
  <si>
    <t>Petit Bayou (Le)</t>
  </si>
  <si>
    <t>Light fruity taste becoming more pronounced with age.</t>
  </si>
  <si>
    <t>Choupet's (Le)</t>
  </si>
  <si>
    <t>Light and fruity flavor.</t>
  </si>
  <si>
    <t>Ash rind.</t>
  </si>
  <si>
    <t>Saint Manu (Le)</t>
  </si>
  <si>
    <t>It is lightly salted and comes in plain or garlic and chives.</t>
  </si>
  <si>
    <t>It is creamy and spreadable.</t>
  </si>
  <si>
    <t>Faisselles (Les)</t>
  </si>
  <si>
    <t>Mild taste becoming stronger with age.</t>
  </si>
  <si>
    <t>Cheddar</t>
  </si>
  <si>
    <t>Light and salty.</t>
  </si>
  <si>
    <t>Fromage en grain</t>
  </si>
  <si>
    <t>Mild flavor.</t>
  </si>
  <si>
    <t>Lactic goat cheese.</t>
  </si>
  <si>
    <t>Barbizon (Le)</t>
  </si>
  <si>
    <t>Mild mushroom and nut flavour.</t>
  </si>
  <si>
    <t>Bloomy white rind.</t>
  </si>
  <si>
    <t>Cabriolet (Le)</t>
  </si>
  <si>
    <t>Young it has a light nutty flavor becoming more pungent with age.</t>
  </si>
  <si>
    <t>Acadiac (L')</t>
  </si>
  <si>
    <t>Fresh milk flavor, available in the following versions: Paprika and fines herbs</t>
  </si>
  <si>
    <t>Fresh goat ladle-molded.</t>
  </si>
  <si>
    <t>Petit Frais (Le)</t>
  </si>
  <si>
    <t>Garlic and pepper flavor.</t>
  </si>
  <si>
    <t>Forban (Le)</t>
  </si>
  <si>
    <t>It has a firm and chalky texture.</t>
  </si>
  <si>
    <t>Feta</t>
  </si>
  <si>
    <t>Candied fruit flavor with hints of caramel.</t>
  </si>
  <si>
    <t>Frère Chasseur (Le)</t>
  </si>
  <si>
    <t>Benedictus (Le)</t>
  </si>
  <si>
    <t>Creamy and smoothe</t>
  </si>
  <si>
    <t>Sheep Feta</t>
  </si>
  <si>
    <t>A hint of natural sweetness</t>
  </si>
  <si>
    <t>Smoothe and creamy</t>
  </si>
  <si>
    <t>Chèvre</t>
  </si>
  <si>
    <t>Fou Raide (Le)</t>
  </si>
  <si>
    <t>Subtle buttery flavor.</t>
  </si>
  <si>
    <t>Ayoye!</t>
  </si>
  <si>
    <t>Available in mild, medium, old and extra old</t>
  </si>
  <si>
    <t>Tiguidou</t>
  </si>
  <si>
    <t>Skouik!</t>
  </si>
  <si>
    <t>Light almond and cream flavor</t>
  </si>
  <si>
    <t>Menoum!</t>
  </si>
  <si>
    <t>Ben d'Adon!</t>
  </si>
  <si>
    <t>Mamamia!</t>
  </si>
  <si>
    <t>Rightrou!</t>
  </si>
  <si>
    <t>Swiss</t>
  </si>
  <si>
    <t>Mozzarella</t>
  </si>
  <si>
    <t>Judicieux (Le)</t>
  </si>
  <si>
    <t>Gouda</t>
  </si>
  <si>
    <t>A distinctive touch of salt and spices</t>
  </si>
  <si>
    <t>Baya</t>
  </si>
  <si>
    <t>It is pickled in brine, which gives it a special salty taste.  Also available in BBQ</t>
  </si>
  <si>
    <t>Tortillon</t>
  </si>
  <si>
    <t>A light taste of garlic and herbs</t>
  </si>
  <si>
    <t>It is a fresh spreadable cheese</t>
  </si>
  <si>
    <t>Fréchette</t>
  </si>
  <si>
    <t>Mild butter flavour</t>
  </si>
  <si>
    <t>Zacharie Cloutier</t>
  </si>
  <si>
    <t>It has a fruity flavor</t>
  </si>
  <si>
    <t>Douce Folie</t>
  </si>
  <si>
    <t>Fetaccompli</t>
  </si>
  <si>
    <t>It is available in the following flavors: fine herbs, olives or sun dried tomatoes</t>
  </si>
  <si>
    <t>Petit Péché (Le)</t>
  </si>
  <si>
    <t>Light nutty taste</t>
  </si>
  <si>
    <t>Petitrond</t>
  </si>
  <si>
    <t>Fromage Frais</t>
  </si>
  <si>
    <t>Légère Brise du Matin</t>
  </si>
  <si>
    <t>It exudes rich nutty, buttery touches, and its orange rind gives it a melt in your mouth caramel flavour</t>
  </si>
  <si>
    <t>It is a hard cheese with a orangy washed rind</t>
  </si>
  <si>
    <t>Pacific Rock</t>
  </si>
  <si>
    <t>A perfect harmonie of mushrooms, cream and fresh butter flavours</t>
  </si>
  <si>
    <t>It is a soft cheese with a washed rind</t>
  </si>
  <si>
    <t>Le Reflet de Portneuf</t>
  </si>
  <si>
    <t>A farm butter taste of warm milk, with aromas of freshly churned soil and forest mushrooms mingle</t>
  </si>
  <si>
    <t>This is a soft triple cream cheese with a bloomy ashen rind</t>
  </si>
  <si>
    <t>Étoile de Saint-Raymond L'</t>
  </si>
  <si>
    <t>The taste of the cheese is made richer and milder by the roundness of the flavour imparted by fresh cow's milk</t>
  </si>
  <si>
    <t>Mi Chèvre-Mi Vache</t>
  </si>
  <si>
    <t>Crème Grand Cheddar</t>
  </si>
  <si>
    <t>Mild buttery flavour with a good kick of chillies</t>
  </si>
  <si>
    <t>Artisan cheese</t>
  </si>
  <si>
    <t>Oo La La Hot Jill</t>
  </si>
  <si>
    <t>Buttery flavour with hints of red wine</t>
  </si>
  <si>
    <t>Tipsy Jill</t>
  </si>
  <si>
    <t>Mushroomy flavour</t>
  </si>
  <si>
    <t>A mild exceptionally creamy blue</t>
  </si>
  <si>
    <t>Urban Blue</t>
  </si>
  <si>
    <t>with fine herbs</t>
  </si>
  <si>
    <t>Stabalized</t>
  </si>
  <si>
    <t>Allegro 4%</t>
  </si>
  <si>
    <t>Natural smoked flavour</t>
  </si>
  <si>
    <t>Bleu Fumé</t>
  </si>
  <si>
    <t>Pronounced taste</t>
  </si>
  <si>
    <t>Bleu Extra-Fort</t>
  </si>
  <si>
    <t>Nutty flavour becoming more pungent with age</t>
  </si>
  <si>
    <t>Raftman</t>
  </si>
  <si>
    <t>Fontaine (La)</t>
  </si>
  <si>
    <t>Lightly salted</t>
  </si>
  <si>
    <t>Albert Hébert (1ière génération)</t>
  </si>
  <si>
    <t>Donna Hébert (2ième génération)</t>
  </si>
  <si>
    <t>Gilles Hébert (3ième génération)</t>
  </si>
  <si>
    <t>Mario Hébert (4ième génération)</t>
  </si>
  <si>
    <t>Fontina Fumé</t>
  </si>
  <si>
    <t>Mild and fruity flavour</t>
  </si>
  <si>
    <t>Cogruet</t>
  </si>
  <si>
    <t>Roasted garlic taste</t>
  </si>
  <si>
    <t>Tomme des cantons</t>
  </si>
  <si>
    <t>p'tit blanchon (le)</t>
  </si>
  <si>
    <t>Milk and cream flavour</t>
  </si>
  <si>
    <t>Pont Tournant (Le)</t>
  </si>
  <si>
    <t>Côte-Sud (Le)</t>
  </si>
  <si>
    <t>It has a white duvet crust</t>
  </si>
  <si>
    <t>L'Aubert de Gaspé</t>
  </si>
  <si>
    <t>Smoked in maple wood</t>
  </si>
  <si>
    <t>Trésor du Fumoir</t>
  </si>
  <si>
    <t>Religieuse</t>
  </si>
  <si>
    <t>Mild almond flavour</t>
  </si>
  <si>
    <t>Fleur des Monts (Les)</t>
  </si>
  <si>
    <t>Mild flavoured</t>
  </si>
  <si>
    <t>Bleu (Le)</t>
  </si>
  <si>
    <t>It explodes with vanilla flavour to start, then goes through a strong espresso flavour to finish with a delicious dark chocolate taste.</t>
  </si>
  <si>
    <t>Récompense (La)</t>
  </si>
  <si>
    <t>Allégro 7%</t>
  </si>
  <si>
    <t>It has a caramalized buttery flavour.</t>
  </si>
  <si>
    <t>Ballot (Le)</t>
  </si>
  <si>
    <t>Flavour of nuts and cream</t>
  </si>
  <si>
    <t>Fleur de Weedon (La)</t>
  </si>
  <si>
    <t>Épave (L')</t>
  </si>
  <si>
    <t>Its taste has hints of mushrooms and nuts.</t>
  </si>
  <si>
    <t>Herman (Le)</t>
  </si>
  <si>
    <t>The cheese is a little salty with notes of wine and hazelnut</t>
  </si>
  <si>
    <t>Porto Bleu (Le)</t>
  </si>
  <si>
    <t>A subtle taste of almond and milk</t>
  </si>
  <si>
    <t>Tablée (La)</t>
  </si>
  <si>
    <t>This cheese has a hazelnut flavour and is slightly salty</t>
  </si>
  <si>
    <t>Étoile Bleue de Saint-Rémi (L')</t>
  </si>
  <si>
    <t>With a pepper and garlic flavour</t>
  </si>
  <si>
    <t>Creamy cheese with pepper and garlic</t>
  </si>
  <si>
    <t>Poivroux (Le)</t>
  </si>
  <si>
    <t>Petit lardé (Le)</t>
  </si>
  <si>
    <t>Gigot (Le)</t>
  </si>
  <si>
    <t>This cheese is available in the following flavours: Tomato Basil, Herb and Garlic, Peppercorn, olive as well as plain</t>
  </si>
  <si>
    <t>It is tangy and salty with a smooth creamy texture.</t>
  </si>
  <si>
    <t>Traditional Feta</t>
  </si>
  <si>
    <t>Cheddar (Biobio) - Mild, medium and strong</t>
  </si>
  <si>
    <t>Young, mild-tasting soft cheese</t>
  </si>
  <si>
    <t>Gouda (Biobio)</t>
  </si>
  <si>
    <t>SK</t>
  </si>
  <si>
    <t>Salty with a slightly lemony flavour profile. It's excellent on barbecued burgers or grilled salmon, with watermelon salads, and is an excellent addition to any summer recipe. Made from Saskatchewan</t>
  </si>
  <si>
    <t>Coteau Hills Creamery Balkan Feta Style</t>
  </si>
  <si>
    <t>Dill, buttery and creamy lactic flavor</t>
  </si>
  <si>
    <t>Dill Cheddar</t>
  </si>
  <si>
    <t>Garlic, buttery and creamy lactic flavor</t>
  </si>
  <si>
    <t>Garlic Cheddar</t>
  </si>
  <si>
    <t>Daily Fresh</t>
  </si>
  <si>
    <t>Cheese Curds</t>
  </si>
  <si>
    <t>Smoky, buttery and creamy lactic flavor</t>
  </si>
  <si>
    <t>Smoky/Smoke Cheddar (Apple Wood)</t>
  </si>
  <si>
    <t>Trapezoidal-shaped cheese with a washed orange rind and complex fruity aromas.</t>
  </si>
  <si>
    <t>Cancre</t>
  </si>
  <si>
    <t>A cheese with a strong taste</t>
  </si>
  <si>
    <t>Brigand</t>
  </si>
  <si>
    <t>Mild and creamy taste</t>
  </si>
  <si>
    <t>Ashed cheese with maritime pine ashes</t>
  </si>
  <si>
    <t>Gavroche</t>
  </si>
  <si>
    <t>Maple Hazelnut</t>
  </si>
  <si>
    <t>Fresh goat ladle-molded</t>
  </si>
  <si>
    <t>Petit frais aux noix et sirop d'érable</t>
  </si>
  <si>
    <t>pepper and garlic</t>
  </si>
  <si>
    <t>Small aperitif cheese balls</t>
  </si>
  <si>
    <t>Petits caprice</t>
  </si>
  <si>
    <t>Unsweetened cranberry</t>
  </si>
  <si>
    <t>Petit frais aux canneberges</t>
  </si>
  <si>
    <t>Dill, Caraway, Chili Pepper, Cumin, Sage, Chives, Peppercorn, Poppy Seed and Garlic, Blueberry and Cranberry.</t>
  </si>
  <si>
    <t>Fresh curds through a variety of added Organic Herbs and Spices to the Mature Aged Cheddar with a rich mellow nutty flavour.</t>
  </si>
  <si>
    <t>Knoydart</t>
  </si>
  <si>
    <t>Mild and Deep Flavor</t>
  </si>
  <si>
    <t>Low in Sodium and Fat</t>
  </si>
  <si>
    <t>FRESK-O</t>
  </si>
  <si>
    <t>Grassy tang and restrained saltiness that reflects the land and sea of Nova Scotia.</t>
  </si>
  <si>
    <t>Electric Blue</t>
  </si>
  <si>
    <t>Sweet and tangy flavours combine with hoppy notes.</t>
  </si>
  <si>
    <t>Hip Hop</t>
  </si>
  <si>
    <t>Available in different flavor: original, herb and garlic, chive and onion, BBQ, dill and chili.</t>
  </si>
  <si>
    <t>Soft Squeaky Fresh Cheese.</t>
  </si>
  <si>
    <t>Super Fresh Cheese Curds</t>
  </si>
  <si>
    <t>ManufacturerProvName</t>
  </si>
  <si>
    <t>Mean</t>
  </si>
  <si>
    <t>Standard Error</t>
  </si>
  <si>
    <t>Median</t>
  </si>
  <si>
    <t>Mode</t>
  </si>
  <si>
    <t>Standard Deviation</t>
  </si>
  <si>
    <t>Sample Variance</t>
  </si>
  <si>
    <t>Kurtosis</t>
  </si>
  <si>
    <t>Skewness</t>
  </si>
  <si>
    <t>Range</t>
  </si>
  <si>
    <t>Minimum</t>
  </si>
  <si>
    <t>Maximum</t>
  </si>
  <si>
    <t>Sum</t>
  </si>
  <si>
    <t>Count</t>
  </si>
  <si>
    <t>No</t>
  </si>
  <si>
    <t>Yes</t>
  </si>
  <si>
    <t>Row Labels</t>
  </si>
  <si>
    <t>Grand Total</t>
  </si>
  <si>
    <t>British Columbia</t>
  </si>
  <si>
    <t>Ontario</t>
  </si>
  <si>
    <t>Qubec</t>
  </si>
  <si>
    <t>Count of MilkTypeEn</t>
  </si>
  <si>
    <t>Count of CategoryTypeEn</t>
  </si>
  <si>
    <t>Average of MoisturePercent</t>
  </si>
  <si>
    <t>higher fat Total</t>
  </si>
  <si>
    <t>lower fat Total</t>
  </si>
  <si>
    <t>Alberta</t>
  </si>
  <si>
    <t>Manitobia</t>
  </si>
  <si>
    <t>New Brunswick</t>
  </si>
  <si>
    <t>Newfoundland and Labrador</t>
  </si>
  <si>
    <t>Nova Scotia</t>
  </si>
  <si>
    <t>Prince Edward Island</t>
  </si>
  <si>
    <t>Saskatchewan</t>
  </si>
  <si>
    <t>Province</t>
  </si>
  <si>
    <t>Quebec</t>
  </si>
  <si>
    <t>Manitoba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</si>
</sst>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_(* #,##0.0_);_(* \(#,##0.0\);_(* &quot;-&quot;?_);_(@_)"/>
  </numFmts>
  <fonts count="2" x14ac:knownFonts="1">
    <font>
      <sz val="11"/>
      <color theme="1"/>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0" fillId="0" borderId="0" xfId="0" applyNumberFormat="1"/>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Continuous"/>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0" formatCode="General"/>
    </dxf>
    <dxf>
      <numFmt numFmtId="0" formatCode="General"/>
    </dxf>
    <dxf>
      <numFmt numFmtId="0" formatCode="General"/>
    </dxf>
    <dxf>
      <font>
        <b/>
        <i val="0"/>
        <sz val="12"/>
      </font>
    </dxf>
  </dxfs>
  <tableStyles count="1" defaultTableStyle="TableStyleMedium2" defaultPivotStyle="PivotStyleLight16">
    <tableStyle name="Slicer Style Custom" pivot="0" table="0" count="9" xr9:uid="{35BF4F98-9FF3-40D6-AF7A-E9DB76F0BFE4}">
      <tableStyleElement type="headerRow" dxfId="13"/>
    </tableStyle>
  </tableStyles>
  <extLst>
    <ext xmlns:x14="http://schemas.microsoft.com/office/spreadsheetml/2009/9/main" uri="{46F421CA-312F-682f-3DD2-61675219B42D}">
      <x14:dxfs count="8">
        <dxf>
          <fill>
            <patternFill>
              <bgColor theme="4" tint="0.39994506668294322"/>
            </patternFill>
          </fill>
        </dxf>
        <dxf>
          <fill>
            <patternFill>
              <bgColor theme="4" tint="0.39994506668294322"/>
            </patternFill>
          </fill>
        </dxf>
        <dxf>
          <fill>
            <patternFill>
              <bgColor theme="4" tint="-0.24994659260841701"/>
            </patternFill>
          </fill>
        </dxf>
        <dxf>
          <fill>
            <patternFill>
              <bgColor theme="4" tint="0.39994506668294322"/>
            </patternFill>
          </fill>
        </dxf>
        <dxf>
          <fill>
            <patternFill>
              <bgColor theme="4" tint="0.39994506668294322"/>
            </patternFill>
          </fill>
        </dxf>
        <dxf>
          <font>
            <b/>
            <i val="0"/>
            <sz val="14"/>
          </font>
          <fill>
            <patternFill>
              <bgColor theme="4" tint="0.39994506668294322"/>
            </patternFill>
          </fill>
        </dxf>
        <dxf>
          <fill>
            <patternFill>
              <bgColor theme="4" tint="0.3999450666829432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[Cheese Data.xlsx]Average of Moisture!PivotTable4</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CHEESE</a:t>
            </a:r>
            <a:r>
              <a:rPr lang="en-US" sz="1600" b="1" baseline="0">
                <a:solidFill>
                  <a:schemeClr val="accent1">
                    <a:lumMod val="75000"/>
                  </a:schemeClr>
                </a:solidFill>
              </a:rPr>
              <a:t> MOISTURE PERCENTAGE BY FAT LEVEL AND TYPE</a:t>
            </a:r>
            <a:endParaRPr lang="en-US" sz="1600" b="1">
              <a:solidFill>
                <a:schemeClr val="accent1">
                  <a:lumMod val="75000"/>
                </a:schemeClr>
              </a:solidFill>
            </a:endParaRPr>
          </a:p>
        </c:rich>
      </c:tx>
      <c:layout>
        <c:manualLayout>
          <c:xMode val="edge"/>
          <c:yMode val="edge"/>
          <c:x val="0.28621967925986413"/>
          <c:y val="4.781658996800344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of Moisture'!$C$3</c:f>
              <c:strCache>
                <c:ptCount val="1"/>
                <c:pt idx="0">
                  <c:v>Total</c:v>
                </c:pt>
              </c:strCache>
            </c:strRef>
          </c:tx>
          <c:spPr>
            <a:solidFill>
              <a:schemeClr val="accent1"/>
            </a:solidFill>
            <a:ln>
              <a:noFill/>
            </a:ln>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'Average of Moisture'!$A$4:$B$20</c:f>
              <c:multiLvlStrCache>
                <c:ptCount val="14"/>
                <c:lvl>
                  <c:pt idx="1">
                    <c:v>Firm Cheese</c:v>
                  </c:pt>
                  <c:pt idx="2">
                    <c:v>Fresh Cheese</c:v>
                  </c:pt>
                  <c:pt idx="3">
                    <c:v>Hard Cheese</c:v>
                  </c:pt>
                  <c:pt idx="4">
                    <c:v>Semi-soft Cheese</c:v>
                  </c:pt>
                  <c:pt idx="5">
                    <c:v>Soft Cheese</c:v>
                  </c:pt>
                  <c:pt idx="6">
                    <c:v>Veined Cheeses</c:v>
                  </c:pt>
                  <c:pt idx="8">
                    <c:v>Firm Cheese</c:v>
                  </c:pt>
                  <c:pt idx="9">
                    <c:v>Fresh Cheese</c:v>
                  </c:pt>
                  <c:pt idx="10">
                    <c:v>Hard Cheese</c:v>
                  </c:pt>
                  <c:pt idx="11">
                    <c:v>Semi-soft Cheese</c:v>
                  </c:pt>
                  <c:pt idx="12">
                    <c:v>Soft Cheese</c:v>
                  </c:pt>
                  <c:pt idx="13">
                    <c:v>Veined Cheeses</c:v>
                  </c:pt>
                </c:lvl>
                <c:lvl>
                  <c:pt idx="0">
                    <c:v>higher fat</c:v>
                  </c:pt>
                  <c:pt idx="7">
                    <c:v>lower fat</c:v>
                  </c:pt>
                </c:lvl>
              </c:multiLvlStrCache>
            </c:multiLvlStrRef>
          </c:cat>
          <c:val>
            <c:numRef>
              <c:f>'Average of Moisture'!$C$4:$C$20</c:f>
              <c:numCache>
                <c:formatCode>_(* #,##0.0_);_(* \(#,##0.0\);_(* "-"?_);_(@_)</c:formatCode>
                <c:ptCount val="14"/>
                <c:pt idx="0">
                  <c:v>38.857142857142854</c:v>
                </c:pt>
                <c:pt idx="1">
                  <c:v>38.532994923857871</c:v>
                </c:pt>
                <c:pt idx="2">
                  <c:v>47.951111111111111</c:v>
                </c:pt>
                <c:pt idx="3">
                  <c:v>33.114444444444445</c:v>
                </c:pt>
                <c:pt idx="4">
                  <c:v>42.481481481481481</c:v>
                </c:pt>
                <c:pt idx="5">
                  <c:v>46.714285714285715</c:v>
                </c:pt>
                <c:pt idx="6">
                  <c:v>40</c:v>
                </c:pt>
                <c:pt idx="7">
                  <c:v>44.362499999999997</c:v>
                </c:pt>
                <c:pt idx="8">
                  <c:v>43.598026315789468</c:v>
                </c:pt>
                <c:pt idx="9">
                  <c:v>61.028363636363636</c:v>
                </c:pt>
                <c:pt idx="10">
                  <c:v>36.542857142857144</c:v>
                </c:pt>
                <c:pt idx="11">
                  <c:v>48.389364161849713</c:v>
                </c:pt>
                <c:pt idx="12">
                  <c:v>53.474705882352943</c:v>
                </c:pt>
                <c:pt idx="13">
                  <c:v>45.153333333333329</c:v>
                </c:pt>
              </c:numCache>
            </c:numRef>
          </c:val>
          <c:extLst>
            <c:ext xmlns:c16="http://schemas.microsoft.com/office/drawing/2014/chart" uri="{C3380CC4-5D6E-409C-BE32-E72D297353CC}">
              <c16:uniqueId val="{00000000-A034-45BA-997A-784052A8A45F}"/>
            </c:ext>
          </c:extLst>
        </c:ser>
        <c:dLbls>
          <c:showLegendKey val="0"/>
          <c:showVal val="1"/>
          <c:showCatName val="0"/>
          <c:showSerName val="0"/>
          <c:showPercent val="0"/>
          <c:showBubbleSize val="0"/>
        </c:dLbls>
        <c:gapWidth val="150"/>
        <c:shape val="box"/>
        <c:axId val="749364608"/>
        <c:axId val="749365568"/>
        <c:axId val="0"/>
      </c:bar3DChart>
      <c:catAx>
        <c:axId val="749364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49365568"/>
        <c:crosses val="autoZero"/>
        <c:auto val="1"/>
        <c:lblAlgn val="ctr"/>
        <c:lblOffset val="100"/>
        <c:noMultiLvlLbl val="0"/>
      </c:catAx>
      <c:valAx>
        <c:axId val="749365568"/>
        <c:scaling>
          <c:orientation val="minMax"/>
        </c:scaling>
        <c:delete val="1"/>
        <c:axPos val="l"/>
        <c:majorGridlines>
          <c:spPr>
            <a:ln w="9525" cap="flat" cmpd="sng" algn="ctr">
              <a:noFill/>
              <a:round/>
            </a:ln>
            <a:effectLst/>
          </c:spPr>
        </c:majorGridlines>
        <c:numFmt formatCode="_(* #,##0.0_);_(* \(#,##0.0\);_(* &quot;-&quot;?_);_(@_)" sourceLinked="1"/>
        <c:majorTickMark val="none"/>
        <c:minorTickMark val="none"/>
        <c:tickLblPos val="nextTo"/>
        <c:crossAx val="74936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[Cheese Data.xlsx]Top 3 Most Milk Used Type!PivotTable2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TOP</a:t>
            </a:r>
            <a:r>
              <a:rPr lang="en-US" sz="1600" b="1" baseline="0">
                <a:solidFill>
                  <a:schemeClr val="accent1">
                    <a:lumMod val="75000"/>
                  </a:schemeClr>
                </a:solidFill>
              </a:rPr>
              <a:t> 3 MOST MILK USED TYPE</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8.3333333333332309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8.3333333333332309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8.3333333333332309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8.3333333333332309E-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B283D7E-C3EF-4BA9-8E97-1CE7F126AC41}" type="VALUE">
                  <a:rPr lang="en-US" sz="1100"/>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829D5DCF-D381-464F-8E9D-B7EA64FE4084}" type="VALUE">
                  <a:rPr lang="en-US" sz="1100"/>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a:sp3d/>
        </c:spPr>
        <c:dLbl>
          <c:idx val="0"/>
          <c:layout>
            <c:manualLayout>
              <c:x val="8.3333333333332309E-3"/>
              <c:y val="-4.2437781360066642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5DA2BF87-C56C-40A3-BA01-AE59146336A3}" type="VALUE">
                  <a:rPr lang="en-US" sz="1100"/>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3 Most Milk Used Type'!$B$3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CCB5-4728-83D7-0FF21577AF40}"/>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CCB5-4728-83D7-0FF21577AF40}"/>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CCB5-4728-83D7-0FF21577AF40}"/>
              </c:ext>
            </c:extLst>
          </c:dPt>
          <c:dLbls>
            <c:dLbl>
              <c:idx val="0"/>
              <c:layout>
                <c:manualLayout>
                  <c:x val="5.5555555555555558E-3"/>
                  <c:y val="0"/>
                </c:manualLayout>
              </c:layout>
              <c:tx>
                <c:rich>
                  <a:bodyPr/>
                  <a:lstStyle/>
                  <a:p>
                    <a:fld id="{AB283D7E-C3EF-4BA9-8E97-1CE7F126AC41}"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CCB5-4728-83D7-0FF21577AF40}"/>
                </c:ext>
              </c:extLst>
            </c:dLbl>
            <c:dLbl>
              <c:idx val="1"/>
              <c:layout>
                <c:manualLayout>
                  <c:x val="5.5555555555555558E-3"/>
                  <c:y val="0"/>
                </c:manualLayout>
              </c:layout>
              <c:tx>
                <c:rich>
                  <a:bodyPr/>
                  <a:lstStyle/>
                  <a:p>
                    <a:fld id="{829D5DCF-D381-464F-8E9D-B7EA64FE4084}"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CB5-4728-83D7-0FF21577AF40}"/>
                </c:ext>
              </c:extLst>
            </c:dLbl>
            <c:dLbl>
              <c:idx val="2"/>
              <c:layout>
                <c:manualLayout>
                  <c:x val="8.3333333333332309E-3"/>
                  <c:y val="-4.2437781360066642E-17"/>
                </c:manualLayout>
              </c:layout>
              <c:tx>
                <c:rich>
                  <a:bodyPr/>
                  <a:lstStyle/>
                  <a:p>
                    <a:fld id="{5DA2BF87-C56C-40A3-BA01-AE59146336A3}"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CB5-4728-83D7-0FF21577AF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Most Milk Used Type'!$A$4:$A$7</c:f>
              <c:strCache>
                <c:ptCount val="3"/>
                <c:pt idx="0">
                  <c:v>Ewe</c:v>
                </c:pt>
                <c:pt idx="1">
                  <c:v>Goat</c:v>
                </c:pt>
                <c:pt idx="2">
                  <c:v>Cow</c:v>
                </c:pt>
              </c:strCache>
            </c:strRef>
          </c:cat>
          <c:val>
            <c:numRef>
              <c:f>'Top 3 Most Milk Used Type'!$B$4:$B$7</c:f>
              <c:numCache>
                <c:formatCode>General</c:formatCode>
                <c:ptCount val="3"/>
                <c:pt idx="0">
                  <c:v>62</c:v>
                </c:pt>
                <c:pt idx="1">
                  <c:v>214</c:v>
                </c:pt>
                <c:pt idx="2">
                  <c:v>743</c:v>
                </c:pt>
              </c:numCache>
            </c:numRef>
          </c:val>
          <c:extLst>
            <c:ext xmlns:c16="http://schemas.microsoft.com/office/drawing/2014/chart" uri="{C3380CC4-5D6E-409C-BE32-E72D297353CC}">
              <c16:uniqueId val="{00000003-CCB5-4728-83D7-0FF21577AF40}"/>
            </c:ext>
          </c:extLst>
        </c:ser>
        <c:dLbls>
          <c:showLegendKey val="0"/>
          <c:showVal val="1"/>
          <c:showCatName val="0"/>
          <c:showSerName val="0"/>
          <c:showPercent val="0"/>
          <c:showBubbleSize val="0"/>
        </c:dLbls>
        <c:gapWidth val="150"/>
        <c:shape val="box"/>
        <c:axId val="1142477568"/>
        <c:axId val="1142481888"/>
        <c:axId val="0"/>
      </c:bar3DChart>
      <c:catAx>
        <c:axId val="114247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2481888"/>
        <c:crosses val="autoZero"/>
        <c:auto val="1"/>
        <c:lblAlgn val="ctr"/>
        <c:lblOffset val="100"/>
        <c:noMultiLvlLbl val="0"/>
      </c:catAx>
      <c:valAx>
        <c:axId val="1142481888"/>
        <c:scaling>
          <c:orientation val="minMax"/>
        </c:scaling>
        <c:delete val="0"/>
        <c:axPos val="b"/>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7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[Cheese Data.xlsx]Top 3 Most Cheese by Province!PivotTable3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TOP</a:t>
            </a:r>
            <a:r>
              <a:rPr lang="en-US" sz="1600" b="1" baseline="0">
                <a:solidFill>
                  <a:schemeClr val="accent1">
                    <a:lumMod val="75000"/>
                  </a:schemeClr>
                </a:solidFill>
              </a:rPr>
              <a:t> 3 MOST CHEESE VARIETY BY PROVINCE</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1111111111110907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1111111111111112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333333333333332E-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B4CFA391-E036-49B0-B1FC-6A89FE6D0C3B}" type="VALUE">
                  <a:rPr lang="en-US" sz="1100"/>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300A4984-3B9D-4EFA-8077-1A14E30CA54A}" type="VALUE">
                  <a:rPr lang="en-US" sz="1100"/>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a:sp3d/>
        </c:spPr>
        <c:dLbl>
          <c:idx val="0"/>
          <c:layout>
            <c:manualLayout>
              <c:x val="5.5555555555555558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8588C158-0A7C-4712-B5EB-AACF5E20AF28}" type="VALUE">
                  <a:rPr lang="en-US" sz="1100"/>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3 Most Cheese by Province'!$B$3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5339-4D75-BF7C-359943359465}"/>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5339-4D75-BF7C-359943359465}"/>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5339-4D75-BF7C-359943359465}"/>
              </c:ext>
            </c:extLst>
          </c:dPt>
          <c:dLbls>
            <c:dLbl>
              <c:idx val="0"/>
              <c:layout>
                <c:manualLayout>
                  <c:x val="5.5555555555555558E-3"/>
                  <c:y val="0"/>
                </c:manualLayout>
              </c:layout>
              <c:tx>
                <c:rich>
                  <a:bodyPr/>
                  <a:lstStyle/>
                  <a:p>
                    <a:fld id="{B4CFA391-E036-49B0-B1FC-6A89FE6D0C3B}"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339-4D75-BF7C-359943359465}"/>
                </c:ext>
              </c:extLst>
            </c:dLbl>
            <c:dLbl>
              <c:idx val="1"/>
              <c:layout>
                <c:manualLayout>
                  <c:x val="5.5555555555555558E-3"/>
                  <c:y val="0"/>
                </c:manualLayout>
              </c:layout>
              <c:tx>
                <c:rich>
                  <a:bodyPr/>
                  <a:lstStyle/>
                  <a:p>
                    <a:fld id="{300A4984-3B9D-4EFA-8077-1A14E30CA54A}"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339-4D75-BF7C-359943359465}"/>
                </c:ext>
              </c:extLst>
            </c:dLbl>
            <c:dLbl>
              <c:idx val="2"/>
              <c:layout>
                <c:manualLayout>
                  <c:x val="5.5555555555555558E-3"/>
                  <c:y val="0"/>
                </c:manualLayout>
              </c:layout>
              <c:tx>
                <c:rich>
                  <a:bodyPr/>
                  <a:lstStyle/>
                  <a:p>
                    <a:fld id="{8588C158-0A7C-4712-B5EB-AACF5E20AF28}" type="VALUE">
                      <a:rPr lang="en-US" sz="11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339-4D75-BF7C-3599433594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Most Cheese by Province'!$A$4:$A$7</c:f>
              <c:strCache>
                <c:ptCount val="3"/>
                <c:pt idx="0">
                  <c:v>British Columbia</c:v>
                </c:pt>
                <c:pt idx="1">
                  <c:v>Ontario</c:v>
                </c:pt>
                <c:pt idx="2">
                  <c:v>Quebec</c:v>
                </c:pt>
              </c:strCache>
            </c:strRef>
          </c:cat>
          <c:val>
            <c:numRef>
              <c:f>'Top 3 Most Cheese by Province'!$B$4:$B$7</c:f>
              <c:numCache>
                <c:formatCode>General</c:formatCode>
                <c:ptCount val="3"/>
                <c:pt idx="0">
                  <c:v>65</c:v>
                </c:pt>
                <c:pt idx="1">
                  <c:v>115</c:v>
                </c:pt>
                <c:pt idx="2">
                  <c:v>796</c:v>
                </c:pt>
              </c:numCache>
            </c:numRef>
          </c:val>
          <c:extLst>
            <c:ext xmlns:c16="http://schemas.microsoft.com/office/drawing/2014/chart" uri="{C3380CC4-5D6E-409C-BE32-E72D297353CC}">
              <c16:uniqueId val="{00000006-5339-4D75-BF7C-359943359465}"/>
            </c:ext>
          </c:extLst>
        </c:ser>
        <c:dLbls>
          <c:showLegendKey val="0"/>
          <c:showVal val="1"/>
          <c:showCatName val="0"/>
          <c:showSerName val="0"/>
          <c:showPercent val="0"/>
          <c:showBubbleSize val="0"/>
        </c:dLbls>
        <c:gapWidth val="150"/>
        <c:shape val="box"/>
        <c:axId val="788791216"/>
        <c:axId val="788787376"/>
        <c:axId val="0"/>
      </c:bar3DChart>
      <c:catAx>
        <c:axId val="78879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88787376"/>
        <c:crosses val="autoZero"/>
        <c:auto val="1"/>
        <c:lblAlgn val="ctr"/>
        <c:lblOffset val="100"/>
        <c:noMultiLvlLbl val="0"/>
      </c:catAx>
      <c:valAx>
        <c:axId val="78878737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78879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MOST CHEESE VARIETY PRODUCED BY PROVINCE </cx:v>
        </cx:txData>
      </cx:tx>
      <cx:txPr>
        <a:bodyPr spcFirstLastPara="1" vertOverflow="ellipsis" horzOverflow="overflow" wrap="square" lIns="0" tIns="0" rIns="0" bIns="0" anchor="ctr" anchorCtr="1"/>
        <a:lstStyle/>
        <a:p>
          <a:pPr algn="ctr" rtl="0">
            <a:defRPr sz="1800"/>
          </a:pPr>
          <a:r>
            <a:rPr lang="en-US" sz="1800" b="1" i="0" u="none" strike="noStrike" baseline="0">
              <a:solidFill>
                <a:schemeClr val="accent1">
                  <a:lumMod val="75000"/>
                </a:schemeClr>
              </a:solidFill>
              <a:latin typeface="Aptos Narrow" panose="02110004020202020204"/>
            </a:rPr>
            <a:t>MOST CHEESE VARIETY PRODUCED BY PROVINCE </a:t>
          </a:r>
        </a:p>
      </cx:txPr>
    </cx:title>
    <cx:plotArea>
      <cx:plotAreaRegion>
        <cx:series layoutId="regionMap" uniqueId="{7F6C9AE6-D777-4B12-BE90-052AE6EDDB44}">
          <cx:tx>
            <cx:txData>
              <cx:f/>
              <cx:v>Cheese Produced</cx:v>
            </cx:txData>
          </cx:tx>
          <cx:dataLabels>
            <cx:txPr>
              <a:bodyPr spcFirstLastPara="1" vertOverflow="ellipsis" horzOverflow="overflow" wrap="square" lIns="0" tIns="0" rIns="0" bIns="0" anchor="ctr" anchorCtr="1"/>
              <a:lstStyle/>
              <a:p>
                <a:pPr algn="ctr" rtl="0">
                  <a:defRPr sz="1400" b="0">
                    <a:solidFill>
                      <a:schemeClr val="tx1"/>
                    </a:solidFill>
                  </a:defRPr>
                </a:pPr>
                <a:endParaRPr lang="en-US" sz="1400" b="0" i="0" u="none" strike="noStrike" baseline="0">
                  <a:solidFill>
                    <a:schemeClr val="tx1"/>
                  </a:solidFill>
                  <a:latin typeface="Aptos Narrow" panose="02110004020202020204"/>
                </a:endParaRPr>
              </a:p>
            </cx:txPr>
            <cx:visibility seriesName="0" categoryName="0" value="1"/>
          </cx:dataLabels>
          <cx:dataId val="0"/>
          <cx:layoutPr>
            <cx:geography cultureLanguage="en-US" cultureRegion="US" attribution="Powered by Bing">
              <cx:geoCache provider="{E9337A44-BEBE-4D9F-B70C-5C5E7DAFC167}">
                <cx:binary>1Htpc9xGsu1fUejzg1x7ARPjG3HRzSapnaIlz9wvCGoxUNgKSwEo4Ne/U+yWR2xppHFcv4hnhh0t
NpbKqtxOnkz+/YP/24f6093wyDd1O/7tg//5ceFc97effho/FJ+au/FJYz4MdrS/uScfbPOT/e03
8+HTTx+Hu8W0+U+MUPHTh+JucJ/84//6O96Wf7LP7Yc7Z2x7M30a1jefxql243euffPSo7uPjWn3
ZnSD+eDoz4//u37/aXB3jx99ap1x6y9r9+nnxw9uevzop/NXfbXsoxqSuekjnpXyCVUJJ1qT5P4n
fvyotm1+uhxRKp5ISnUiifi86su7Bk/+B6LcC3L38ePwaRyxlfvPLx58IDe+Tx8/+mCn1oXjynFy
Pz/e3bV3H7FbM9rd8crOBql3/32/zZ8envR//f3sC2z87JsvlHF+Sj+69JUu0sE4MxaPdraemvfm
z1QKzlwxeaYJBlVRJaVg6qEm/ogg31bJ12840026+2vp5uWn5VE6TO24mA/V59P633uLUE9kQrlK
FCf3P/yhjpR6QnXMlVYnb4IOj5569Jn/WKxvq+ns8TMdvfyL+c/rwbQfPj26+LjcDR8fXY/1Xfvx
83H9KaoSVCYkxK7jz5mq+BPCNOUE/31W5Zeq+qPSfVtj337LmeJeX/zlnOs3ROOPQWGPwv/P794P
dx/t8OdpT7InisY8YQmyzpf5SJEnjFORxJr+nq++VBtc5I/L9m3dfedVZwp8+fyvpUCkuvefPvyJ
2oIvERFDWaewlzxUmiZPtI4FpbH63Re/VNqP5fm2hj4/d6aOm79Ysrq9G6s7B6C53LV/olLEEwFo
xzQXxwBHHyqFEvkkTkgs7pHGl+r4T+X5tlIePn2mmttnfy1PeXHXGmff/7nYDnBbSn2O7xL9RHBK
iObJUV9n2OE/EeXbGvnXk2faePEXQwwv7Xz36PaDdX8m2BYSwYtTpdjx2Mk5puNPFFEh3ejPznkC
c/+ZNN/WyYOtnKnl5e1fy0lete5uMPbz6fzvsZskT4gWSmpxCl1nKokRuVisueTyqDP2ee2jZv4D
gb6tld8fPNPIq5f/f2vk35TNx6B+1MeDW/4gSaDYE4mwFCvyr/P+EpQlCi4SUxLLkw+d6eNzGf/v
5fm2Oj4/90D2/9eswL9nDH7nUfZ37u7inoD5gjT4/tX7DYIVOnv0AY/zYJufLfr648+POfDU76xO
eMODovLzKR1P9/P9n+5G9/PjKABpzmNoh0sokDPwO8un+0tUABG0dnDFz49j/oQKEseCJ4nAvxQ0
ONopXBL0CepZjpylVLggf2e4Xtt6zW37+8ZPvz9qp+a1Na0bf36ssER3vC0IJgIK5Bo0hpA8UVRz
rNN9uHsDFg130//TrIPpWhHnv1KVt0uSdts4K3KBUi3W7a5q+zxv02hasv595OXmxc4UrG79oeq6
ybybjVosSxdp4t7tXUOzttlPjmWtvch7v5Tr9Ry5PBnSgW+yEWnspjgZdlWc8ZxdqaYaR3MJSNTr
Ou3qZuHdLs+1JT6t86nv84uyWGrIlRPJIFceLaxILse85MqmSd9kbH7a+Kyr7EWsGdE3fGnyWO+q
lc7642Arat8KmgXp2oiEF6rBEizti3xu6nRVrsbtUja5Y1fRWGX6NuKVHse97jNH6LONb+2kL6ss
skIeYprIrnmRt13ZfRyQx6blsLnFer0vxZRpveuzeMb7+95E8/w89nWLQ6icy/CbKG2J1XopWmy7
7yiBCEPfexFd1t7QqN+piQT5zTQZbLsomezff2GN39A5jPVM5ZoqhpJNoCAXXJ+pfKicVHW5DO82
PvhcX3Mpsm15SsplVnLfF1a54oLlW7Uu13ayW7fdRq5aXHlFm0yq6ur74sDgH4ojtaSIVFzGUsk4
ORPHyMKxxPvs7UgSBdPwJcl9sadqWaPmolM+HNW8FE1X3ESs7tT83JsJjCmqjt+d9BvHQgEfzgSB
WyoqlFAcpxM880tX2OLFlFM36rfaVlY2L+dhbOfychgqo8RNAoVkKs0n2GO9pazaejukUT9TmJZZ
Y7Gsh2ybwse8rMlS7Jupk46+0uW88uhV4+s5fm+5m/LqhbcZr17ETUXVzfd3Aerx4SbAdFFN4M4E
QULH5OEmJE1E72S3vvWsLwuZqnnjOEYxLTZZLws+9nx+mkTtaL1Nv780Dcjs4eJAZWDbGEyLMsIZ
uIIvT7AZqJiKjedvVaOmNftlmptK9wc3qh46zHgdFtdmDj4g7NCUbEeicU76F+0mx5a/7NiGjkBa
mDx46jzTYlvSabQ02EUeFYPbDwXVZfLKTg1j8lJNbQgny1xYvFMN/apZyuimeZHaeZuTf2ZNVfru
TdcmJbxYFEPdNmkip0gkB17DrpN07MpM9YeVWRkcdxxriLn6VePNCe8mxJ11HiZI1Ixx8MrImBCT
ssgrKJ8kMKdhN8y+cuPO6LgY9K7rp+DbnOkV1+LjW+ZehVcTVxrsy4sxBBbfFQ2+jNs2D9vzbdhz
aRL4vbdjj8WFRVeg+JCZelrWZyP32dKlVrWkf48g2uKE23FDpL7YyFiwbp/VTNE97Qwp1jYdkqbk
VeporDtzveYLVfqm7EwFlbSdzufspqumVkV39hgga533UJ7vXe27f87U1Xg1X1uc96+kil1Jn9cl
s1V1VWbMln5ItwjegAC7zQ63Ll0dpI5F1mFfSZnP0a2YXYhqzVHOPjJLdNt2I2x1b6XOi3LHVjY0
9LDWCxlpaiZVyyRtSTaN5KIbF96/V6WLoKbTq/LQj1Gv5DGiepdb/6ZpyLhc9Hk1zvmlNLV37JfJ
9kG5Ripa1r+6eYnjKq30QsvsaVW0wc4WNyVqesbIOiLGtBnLcaTf9w35VdDVSsD3kIKQauEcZ65R
qIyM2xa7d3YSZqt22bYlfbs7xbyoHzyOTM3VBqNZ2pLiw7b9AulOt3Bjxr7f87Jx0U3C4pCsuWUD
tOgWPSy385CRZtxP9VDBqpKCBS/rBkXVpWzKfOxTX/FBituSemlyk5Jk7Ky8dVYyt70hvhzzN4sv
pVfPe72thG6pZF2vp2f8mEAZH2X1whKdY4HjLyBzg33bo7XTeaUDfVnGZYjZUszRuqTSNDPsYFhl
P0avO2pr0qm0HWfril9P2Y56tmLHUd6VU7Lro4Qs/S7q1hb6QHossddBmzxzu1yUOSGHtiwmpp/n
UzyMH4iMFjgudZIhx3K6TV20j2rXj+qprESeJRdNQ7fWXzaStlwdKpoFp5ZdtLHyh1HwYRCMiUqQ
VAniH0fjgYgzTXeN4IhJsrrVahOWHJpsXiuzYy2Mk+1KqcMRZUI0pdk5n9R9mca0LKh8xle+ICpv
tidG/MHsFoMJRFID30dYwr4GepvpmDSrGd5KxxZsfptt+KjHPhuTF66bZfcGwTe2iNeOjH75kNSJ
7tZLz+KliD6sxJGyeZFQP3F1yRY79/GuzeoZ2aXxrSt92g9ZKfSLKC6VuB7y0o4G9NP3cvRZio4p
kyoh6OgkcYKezrkXeblEU8d6dkvXoc+jnZn9lpsyrYBt+/LQZqXs+TWLFrd0l8NKmGC/fF+CM7QC
CeDH6PqFLkVw5nOQMAxULlu/3AKIV1r+uhDv5XqIEtrA5CvNq3lNCzU46JrGImhX64avHj2H753E
13IkTEoQIbGQoSo/s7KqZ6JRfd/dHmMjk2MIyPB8pP2Dy4iHWpaaJcEh4PWAI65oAu79vhhncANV
DOEgmsENQBrBzo29rCY3FIqPUMgY2WZIkaojPqUe/QoW/6Zc2YzVs1J4rfMX31/6qxPAwkA6Ghy3
Dqdwhhu31Q6VrbbutoiM6trXCBYa6WTOkggfp+DD22lY7TUv5nl9l2VU1vYHJwDofObw6GpRCa/S
DOYJnZ6pYqljO1ZN0t3aYvLwbX50sKJsob2r2jmE88u4sgPc7QRimmZtl/l5YbNyIWnVyo2XB1oV
IWRXEQE2NJNByiucDAlBdPJ+T8cXcwDJYrxe6jUb891SeDnEadF3kfO/mCiyU/nKZY2z0QXRFQjp
61gUolLPWDsHoLFkQvXvZRQH4DDo1UbDvmYiN8ObPImDFXdkmMr1KSqkejZpF2UgIg5lQRhEMcdy
zCVDE4CQWpaQqY7hv5xhfe/HYQsgZ0yWvhyfz9Jzk11WlISkQZnJuUoTBFGZHNg8bvZt67cBOYa2
m0COP2ZAS4bV6S6VfeVwrWrrBsIKK1FqPdu2UCYeCM2ijP4aSVlXL9vMOupfZLVkSEeuzLHHg+QO
Nc3zoWu2waRuzTJiDlmcZXOSLqLq5n4v4taXcxrXk1rdbitV1L3FuVhk2s0EZR9QT1YQYZOygAj2
iFmWoWEySs3mdLHuEPANrm3MIeJdLlaEfNXNG4EoZtoEBKtjuaEMVPFQ4GXSrwVuYcdSNYJ34c7T
AxRuDUNpkXNRTAKzhQPO+Jrj1TpWBhixKSgg1ezEwOs9KWfhmysk+oAA2wVwAVi08wk+2NGixlYF
oOW8qpFP6w4ZnlxQmSGEXgAQhFxNfRRhOeELNgyHzeCsigNv2jWXVdo2oqrnf3jNqjV/Nk0Wwyo7
Vpc66y/MZIFHiEvkVh3GuXXLb32m79E7dSvOKCqtLZc0LquM8F3ezg7FVJS3sHHFTRmPO310jc2p
DfHJbRXvHEmzopnj6Hmz5YNRVZqPa0/mvYnKuPitQT3A5pRhLCAZb0TtNq+fDkkScFvZik3nV03c
1nZ0aTIbxI53kSDb3D+NSqQlmtYtKQGyBz9yMh2yscm3Z8rmleleNtnqk/UWHrPZrd83mciS4pLU
ygT4ykS/mX2UoZRtrunRn4h2DufZ5F0j5305c4t9AqZxpvar4RUW0vkQCoVTdXPSN1VFgEftEU4J
qcNbTlk5mqIQuRO9RjiSI4T+g9EzZoAoFL0NQBWZnJdqfd3TRbS2eHPMH2AMAO04duRv5OJnZC+h
llCJiKgqUEdaPcO3vy/DV8kj1iFtoAUpYqgqDhH+C+6pN9qW8xDNN4RNtb8piFXVi7VFMfEuajlq
nUObFDXS2veXFaEG/oLziilWEzGYanStEynP9x53G4msXvJbcKzbtr4fi6ItxH5Gud+7t00sJ5Wn
GuxVFaW1nSiSS5kXCTRYlznO6zCjn4TKyrG5LMddszXjIq5FHuWaXMKKeXmHwjLEgs0srrOvklkM
0CMnHU0QuAcjgaR4nlVxu4s3HdXsRrEtNrdkpcFTZRWtYF2ydhLjIRsmFkD1gtK7SE/4MZ8LD1B5
EmtcxwRpX5Q0RIQ6ipJhuI3XiLFq5/upt/WetmNJ1nRok1HQNs2A6Et9UW7xRgXq2ZYM2Q/y8/0x
Pjhm6JQyLQGHE5qgnfNQvaVqFmkSN7wpTJbE+SVtEpOUYJZY56OLRfilGF/QvhgTsqO06LW9QMir
VvksqTK3bW+TIhqm/GrpNjjVRdPXOu4ONF9QH1yNTHKcVLGVFOeA5JG5chfRup/f5KscoMC+JEW5
XLJODBU95IXuJlSZqKhpfWmQITq+r3nGC/KDUk+gL/jAvMC5Jwo0TIwsxtEyOcMDVPXLkqt6epO0
m6LDXenFADhthnGCW3FLsWhK42WCgbRmZUGPVmx02BuEtfgX53OB70CWBUKAkhH+0KG0xQ2284su
92TNeleBapgCt1MeXyyioiyHp26iXiwXSTTA2FJVEYSxZzqhqjEXhcsBE69Vlqwwl2Yeexy2a6OQ
9CmPKiM+9TpSXj6jm4Ekedf5YtiPBkzW8tR3y1rVFySqBhGndEGyz3ZdwajvmrTPSDKZG99x8KNX
IFKSOTpogBzK0n5MJhrnqURan6o29esatNy5bLvfuzOUHBAiG9X+oBg7rxdQZyugUwBFEjO0TM4w
Yjl6k2TrlNxwYea5+weIk8rfbAXPEdICNESSLMpZ4jQ8E8Gjvh9qziMcCGcCE0DJH6qVr1C67ZHS
1qqJb+Bs9fZOHkPqymsNE2BFPWNF1EkIvX94XS5ZaJHqREhyzqnKblFmEZu4ISLCuqIbA12+MBvS
0Og5woquJcV331+XnjGAMQvdhCTsOAlNjvPyqC5M64dl225mCtPHHl3fcLM7VQXIAwWzT22jtY4u
VpAenXzd1yiNTTqUxdqMYBJEqYdrW/ierikbATf/ASYnXpbpBxUUDX74ZXxijBL0DAhKOgJhz+NT
4kkzGcGLG5/FE4rxuCqCIYhBjfH/AGqVebJnZZMNb8t5BDW2a/PVlx9QZk8oKU4VX9YtydbtCuPq
st1z3kX9sh86HQ76+2d7xiDFjKHclITjdGPFQJg/DKdjT8rYt418LdfVI5AoUwQr8oKv+K27z89m
6ZNyL9nEmvWSDCZHAq8Yz1D+fV+YrwybMRXHCsV4+NHnPYSAxpxFS+OmVZOBL5FJBAzL5aix1hhv
wBFju5jt3ffXpV+fgtACRafWEq71FbuS5D7fhkEg0ug+ctftMAeWu219n1U75mRgaTdrpzkOEL+w
1c0J2uYjDwnDJWMG1LXEa6hfJDUbxD4Rn03Xq3UCG+MD38zmNZ/MS5oXm9v22jcW+EzYpZLmt+9v
Sn5liTwGERx0SwMsO3fXRKzFJudyvjkR30lnE/Vqov0aFxdGb6rrrmZwxlu7byvVV/mVadnoup0i
dYAl+bj02I0bGAXinlEe1hZ2DFbwzdYJnUU7kN+KRzviRjAEKRc+YdWhV57UUaqbQlbTtXZCVfxS
uAg1xts5jMZEF0dMxhYZuHAjitCgGcCd3X+Acxj/WWyxkqCA9Vjm/kKvpKv5pYqMkGuatYrM7UVd
FSxOnk797KLbzbpauPcndWzrHIi/bVqD4saxtRxVoqA2x+bymtbDYT7S/yAyG1jzibKvfYEUuJ/Q
i7MxStQOOeV5zW2Qr0+UXJdLlNNxs7m0q2LRRtd5QzpLUWx4FB07PVNTDD+Ifl9lG7RjOZpqCrCW
fW2bShb5JnTlbuaWBw/dLAju93WRJQG4dSacoaZ15q5HU8kfBt+vlw9OQRMiAyMBSuRhgADWMiW6
Kd3NiTEWrCXIL9UUK6xv7juJQlYcUtR5CaX/YPvsKwEkor7CmEgsACi+8s3CibKkWz+/zlUeitey
Bn4DFc3zqZx2csk2n+whzoYSuAezAwWyTcBGLqKkt6jdTiVwxJZAz04IyPgy66LQLWmPrZdT1bTa
BLaUjXIgOnVtPk9lGsn7VU+W1Yg6tJKGfHKNvFr13DZzmhA3lWrv6KqjLgUVgKhh0tq0RRP9IEJ+
FagUKFfOwUuFNj09hx6+VhUb0SN/fQpRqPoEVH4C7hysQP++WgvEMKVaDmtZVdH6m6UZflhnnQNS
oXQMewhz8CwW7LyxmVFfy3yt/S9N66JcpohlWGOpphqhOolhj9+PZ/S8wBI6IAAtRWhGYrruDPkv
kVS5zab8l0JkhvMdJWiC8pSuIAkBGW2RzHeL0E2WutFlPXr9iHW131UEVNCQFh36Yj9yzq+qPsw6
4AgCHkQL5uuUNfrardY2xS95kodIsvKKI91XaFUC/h4B2oJenL/pogln0ngSANJ2n2eQ1kT1Qhbr
EjIvqCAco9okSIzRREF7x0DZ5LzZ3ulyZGV3uWno4k2/ZOjy78a6CV3tIwDtgZ3hhaNagUZP7UPD
x2DmqmlgEjVNgDzSYpxXTDk0Cv3QtNMk08/7pHVk3eWR7uR+lDy4dq/NhPKynUyDYnle+ns6aUgC
nqWioRAvnqJQ0/sjR/p9dZ9jATg9eveYe6BABPi7pLMyfnLUkATtmNtTAd8M2s0Ha8icHcAArGWZ
yg7u/SNA9DBrytBNE+jaYRYwRrD9CoOwbjVxpq1/vUYk8d2nNkOTq36HHlRTYYD0e2w7aO0HYBFz
VIoxrTTmEoFxA+3+MLgKv7HYIqW+LqzFtEpagWDmJC1k1w3tXhZi9vaqYS7QgpUksJ8872gpd5mc
wkdXZxY3ZmgfQ2OcDD66PfI6M+VruO++TyozzMzInaQENTy0LJT6H8Umju9KRBlUe2B9Q/04OZFk
xTMBMFryp27hnrD9NCfhVUiNG8SI0YWIbumI/tewo+U0ze8WasrNX8zl1pVu10RgELPUHAWNiils
THsWHs5youuXRY3SnV03ywACfN9tG1ptaQVayJPUez4mWPPYX23RPxqygxzyJKnftseDWFAV+fXX
xoOIETtG3UT4KzTIZ7M+bcpRqengEi9F/0z5Eb3hmxysMjbQir4fBSZ1qgJnZsYmTIIUCQqmNqX9
vBl/tZIyJLIZ+F01V9KPnSjQ0FNoYu4EoEttLrj0M6QuWNZP1fMczVQobAscKrkuAAO27HUtlKHl
wc6izradA2wFc13UC7jXmwxNZ/U/WR0HUQxvJdpkFdgopKSTDqqtAoGYAmL1bfbm5McJqRS457Za
xqK76DnfOH85ERd3fpc0LAcBxCu6YRgjGvIg3wYyFONONKmXJgOgdUHlkQ9bBju6lH06EnDJfF+M
VQTNI9QHIGGlRQ/9aEIRkBIUw1qaTNFF5laxNnuLHuRQXHRW9DhEQbsRFoq/iuRNdFVla44vT30i
PxBKsqcGY7naX2FeAo2zfT5FesxfkJlhMCEdshzU+mW1mnnSLzvSe1/8UmSsGYd3TFUSq3dgw3Ea
nZ7ksl6jWQvLvDZdH+y9jkW4NvM1ETtnOkefn0AKBisAmV54V/byKioTn1/kTIzKvCr7ooKMk5Ed
Hv2BP9+noH8Vf/BnjZAFr+aCIlehC/LQn7G6jImv7esZSEAM+w0DShFPh0bmfZv2rfWAjtwpNDF2
x2GM09RGfJzPWouJygaUsGVhroSpLu/1uwjTKXH+jyWD6dgUf7gWJagGj8Q0hkPQiu/JWjfZbkhA
yNk9Kpyo1WktCsx2XPtuJDjdGX2/0EYa+5AQTvNvCSlAjnqZIQ0ZBGTE++04sSfxCtxXzGOsREoz
42l/UYghipq0Q0M8v8yXqEKzFI2cBKUP6gaOVkScrTUea6I5sOb4W9nQPjg18PuyrdFsT+0AXg+U
umm7TF+gSb107llNKW+Szw+urO6jeJc5WGyz6/tZr/0+dpvAh+TCxU26Ub20v55gXM67uekOnstm
9qmNYPUYpDlCvIJVoWA9doJOgzcszsJwjdyGbHi1dRWG1dI4qzoMqLRl0heQkh+7HHYsjG2eDSES
F0BTawCPJww5bnkWGbeLmilwaoidjc1fKeWaAdbZJbNDj+aEH09DIaUcxda/LsUmaX9VrWNoUrF+
DY04FDl8yPZyBqNlLkERrHj8NNuSHcFr33oOJZ4aeKcJI9YBLiHvE7RIuh0vMgznpY70qvznSMFI
thdslFttr9sKAEbvTn2DBCa3coxmRphbePp9TwAXdp7ZwNQgIHKNBiaYy3OwJgqngL1c/qrNLbqI
F8hMcWsPyEo4gYsRbASOCE3FEHS2Gj2klydvTmzRNXG6jghmzTWL+0qWaUemaXruMhm1h0zJEs/i
5DyYZj4XbcqLodjejZjGAPQCIQvma6pNmDtc1iGsELqH/kYLDABhHiZpwneJyEIngmZl6Np0+HOE
RuzGCChyvZgnMI4YsJqG8BI1dShS02osaP9eMAcw1oimwqt6xBEwE22sQ2VWou4Fq4+hwjC9h8ko
DqjUL2UgL6KFgAhCFX0/fIZCCzKWBN7+Cp6CPnvaok5enzOdYCD2WRxFA2J5Pdf3I24+5+u0G3Of
mSmt/AyIfZhYF3g+IkeMdJGlQLF/w9GMrW67BcOx10cY6JsqtO5NGFCxaLlhVmc7TEPe2Obi1D+o
HEbMzG6dohFdYw81dM+OuLUTJGxf+iiMQcTNoIx9Oi8IfXY/zA3qChtVcbH4lGzgM6Zn+dYEcDuW
ScCKqlIIK4J0K75TNQGMQMP6ng07cZVDP1fAliOtc6WvS9UHMOs8I8hS2vdtsQeFXSdXbZLRZH1a
0uGeejoKrHsaQyw3xGEMd8SsJNYkpBrDwbEx0yJt2roeAGELu2ZiJ4tqilhqS57n0ytJWszqXsYL
KWt2YH0hQB4vlQjct9E+h1zr8fCmNpmRuStT+XzaacwgmujATL0Gpt3qFbSdm3CNXZX5tCT5jZmX
Lh+uWWlVcV1gMhk5vtumCQvAKD2OlESixNMI/j2gwZpE6J3PHZq0xO4MyaNheDeoLjBwp4QW87nt
q2erzloIRi3iK7s6HSYGU8Q2XMRoKW3uAO+O4evDFgU0cHqckWkcbMpxUZhdg4arfZXpAa39pGah
1cG16iCXj5vQL3Q+cMw775Tu3qym8Urtj0WMbrMwA4J4CRM7/WLrbcSzKHeD1p3wxmPc7X6E59RI
qWgU5+SKsnhzPp1W2nXFYY5Bn952INMqwCnJhtCbUixMMNjI9i1/JnPaFm5XHbtkJ2ckptWzTrs+
p1G3tysJ/pIfFeaVCEZ2rESTDn2h6mqY6sBbpuPR1qZ5E9fLWo5N/IyJTc35urdVfp+YTgmjnpfQ
QaAO06OHuSYISAcQvUb2u7EoeXaLBgZdyNMeDPOqLqIO4wp2f9qxXIaudamfPKYfX1rbhpCEYrBy
bGfVNLXv6/swssAtEQ+QBjrvXyMnaz3VKcL1lsXP6g4JzF/qIke7LTWkKaqnHYtE3+1rjJnPyUuH
egQ26WYZ9FXGqkcPfjkSRNHah/GpRMIWUZbHaDlilGiBmt4Rt9FKFbtTr2aeSSCdT90/tq0SgRVU
YqCZKQIK2kxt0odIvaKvBB2fZpCrYQqxJ6rQ78RMNfYIIU6nt7loxJbzrifT9daN8WtMYsh8Ny9t
EIeWIjC7yz3kaDJwo+Bp9DJRYA3d9oxcWFpjxhPzudnMcwAC/H15lY6CxWV3q3OojFxUlGFy9KKa
plxPTz8z12AHIXcWR8Ejq2zogkMfmxN9VoTAxNuargfTKJ/ciWpgiE6sSoRKnVr7fE7LcdQ4VeqL
Wc3l7uRmS7RkEZepWYYNdFPqy8HQ+nWH21CSpvToy3NsFPqvxlbBgjnYfqmvjY/DBjE+SzD0OjCg
ePJ59FJv6KGzKpV1MeDbbk5MMP2SIBMdtEG5mycpkEAxXfdywlRuXPnAkFZr3yAU5NgtQsixsh/M
nHT/l7Pz2rEb19b1EwlQDreaoXI5V/fyjeDq9lLOEhWefn8U6Y12GXDvc64Mp5qaEjk4xp9UPvi0
ZH3zPol2WbB6q0u4opXZib/TnZkmbQzfLEV9aoVdVOHLhq93usto5XhC+npqdabZB1G4JobbOR/1
85orNDYI0ebCZURiIjRkwc5gJKVtokCuPl2XOgMXetJisSp1elkmlYJMdJlcoEsz0PF8bKO+N7xr
3iNe/Z4uJiBSkkvyKhMOQMZ6QFfZkEq9wKJQiBFtNGua8nzcZEo/vwuLtBXLY13P+1Dcdisjj3kR
gQ8YdPJGrAnLjZ/VctN1IrdZDamkxV8rRsP+dYv2NkzQih7bRH/BKYRvYtWY9SG1rBpZFkZkD/2r
LjEA2GwAJyokAKaPy6Ra5CcjGXK5+7pi1/Pi85WVJKFUoG3fhXIX2blhcvnCR2DavBduU3AIiraW
285SZEtVOfJzurWR89usDsihaeVTQOwk+xfNXOdDIvmIdM+kLFQPj33ZyRnfa4QkKVLsA/yu9Wkc
2OZFLU//ORzlMaCpxFJVwP3ADocDT9oUu7m787HqgmBDod3PDkD91TbCieLgzYvUJ2oCtLDTjPVZ
ri7Yl63EH/W6yk8p+klu0arKOo79wK8EO7V2Pfm/fdj9/SVfkzHx7kaqprne26h80K3o760Xkb4Z
emd7bisZ71FRZOEaNKws/fV1EY4CtqETTzRifnFOF3B82hgL0XJwymyEZHe2qLh/10U1f83s7Rzc
mwdm1j6sU2cE1aM31OUyo/Tvk+U7aCzF8lwlyURPa4994H91+UN6WQWn9CJxnPFSYo5JgriZPAl0
pO4sJ2GPwwNQIgQCk0V3rkL+WzLLR2OngK5fR0nv9PFeDx6/iDBY+BBW9cDc6rZJM0VPS94XEspo
HIefOHiV/CVyc0RsYKBusn5zBCLWr1JayhdzwlVu1MELuUSYKi53cmZmrTNymaq3Y7+wy+5LNecS
snGGUEI2477KlasQBBqIkd9ozCBViFA3dPLgn/NcwlSTm0j08PfzxNtpAkoVFgC82bQdm839BifL
qmFomql1npecY6aNqypYi+nslNyaV1wocuWM9rK3OWo7UTjFg1p3v7+Kn5kImG/E13bI9IQWO+CI
kZDlP5RFg8S7yzTan9OqlbpYxY6aFc0fVDwnEx22Yv+DzPx32v9n7J+Px+TPl4cKR+1g/4JMCmGs
be2G67PduJKfm3s34E5rCgCQir4rzWuTy4gaX/X7wVEb/g+UqS2hjH9CHcAMaJZRLLsOi9x5i88i
MAlozLyCYZQFXT9VE6P30p9zMA7TOM316BTLRXRtCwIQLRMPKss7OZdD30jpkZ7B0Q8mQfEe1pn2
N874f3S2UVJKYWNxiFbT4JCDzgbD9re5DdNafCzLRg5oWjeaAyv69SUFjtr+jXb45a4j84hgyX3w
L7ai/4b/CszM8F1jtJ9Cp6ZG6HpZZpQAZs2DHy9WIdvORlXpWjHjiL/krvj9CvwZFGcJQNLDNZi+
SQAR3cGbfVCgR+1HLxFPmbdKnf0qaK05Vo4hcF/yo/42izTh/P6Df9mAnun7lsNoByxugXH9vPTt
KcSiFrnzk6e6rGAATisfNIU7uz16Bt0AinyOMvd7qoa131/G2+8vtRUc6QF2OtD5X9QK82KJMa2X
6gn3kUItM5/HAISd0xKxQTAVnJv6WPW//2TrZ0sr1KsUdCDth4qFFQjeAhq9yFM0vYnxmNWjxA2q
IGHYvYRF3w1TPPWcu69oPSUtsirQYQ57eQizaeVR7iZBmny2uqJAz/77a3u7RDFecC88tjSpVQ6Z
Ez8/HH/ckQEEifmoYRVPiSunOWJIU0t0aVKKlGaDat+XnYP3fylSx0r4Z12woYoRq9iWBVmLVu9t
kfSlI9O1h8dSlO6ONlfdEySXwvy4pVPvzufZmgLzW1X6sp2xnKGxvvUzzof0FPUYYYCh0yDyi1tP
VJlj/4tC5+1S9i3b9ULbt6EtPfcXgQ7HjECwHwVPP0xxaqF2Bq0TkFRYMCeFucdwgEkVSZO11x6X
+ftH5v0saYK+Jd+IWJaArYwi6hdJE62AkGju9lQMbcXZLPqxDYenSERV8pKuq+Fn8WRs2Pg+7MoJ
qM3NuY92vIpLGED3eQq8rStvur032/92yZSW3zLDws3kxP5oCaQW4UyLjhd6MyQj3qYhGu/FslPq
MNAmTI6LZIs7rrv3vqaG48szAyk01Whpm65iQjffgPH2r+ggEIj90Gvomt5jSuJHzgtOzSU2QuEt
Jb1Ni4f53Ie9nS3QsBiyd9ZDGNKF6mLhV+BOn1KcTXl2wtgXDOICxuyMYRNDGUhrpig3aT0zRW90
Kd8gm+f6pnRaKXVIw1Gu5MrOssy8BB69bHc2PWecpvuhz1CrXUBBMvPl90/P+mUNYRVizyHIBcmy
mD1/3nFBSIVbYAqfNErcqa9P68dAfM9hZCYhPtClimDxBkghDGtKiq0Prl5ZUstilseYuZdSub+7
k5QOKg+c/to1tFT7xVzt1FzOfR/6yb+RkG85SGz/yDuoHjiQEAm9Faw5WM4BgM3hkWGw85q/8OZn
TnPFCMR0pD2Y2i23N4Y0IWDlZBxVJS8TgVQw/cv9fdtpkVXJlWA39mX+Vxi8KSJmYgIfsaYelzoM
9+wPxxumrrxDV+Ean0L6bBrNAGF0/adNEWPBrqKIGD6ndF2M6HkN3HpZLg2dQjDH+uKXqpUDD3Lf
MPzKDO2MdzsFlVWEszIxpuvvv8PP8gj6M5QqPrYuUgStgFbpTd8gNvRLAVTbY7Ab04AwYExqJz0b
K7hXFv9/dQeBiRjVc2CTifm0ENf/vCrhTHpmcq9+1ISi7uB71Z+TI5AzLPQ+Qmf7X7QZb58XZczj
kYWWh+LM+aU/L0UvhRtL95hnRUCxrBm+/a8/Pr8KEIq+D6JRMm+JJTCJ3/7+Zv/y+UjCQ8c72lHX
dbw337yptmzaQit70NaIhaImZ+qfXFu15SF8uOttnMH/plL65QJ4zAiecIbg5DI5Yn6+9T7wsU+k
wXiPku6ogO4xZOvDLzUmiayx/uoeB+uQj8Efv78B8gv+89QNCUCkL5G6IJnP9nYTl+viYkVNt4eC
Arl/DsN5DK/Z6CeAPFz0YIxX38Ys/C8b1X7bFdEJchZEKJHoDFlzb7536TnC2et2eMBZlPXzc+B2
7fYS1UOx32kyvSEsw/ljsgbJarNv5LiLXl6OLnliFxL/7ouZwXUMEOrtJ6wyQH7Xwa4l2qXZeiYB
eUrBTdasIYxYJg23cDgeh7hwpeELVlUqIn5/W992VshjWdiITNHe0f2/HXISL+nW1raKhykSznHq
2nkZxMQCDGV/mZtSeMUP75e3QZO8zpjohClnbASN//KQ35aUkHvNYw7lVTEEvh1FlmqKUmfaiofg
kPPkKWI0QF/Z2SkY8Pdf/tePo3LB3mGERBRLS/fzmi5yz4PD3L17YkkCgLLClmivWwka2Mnt/33A
9d6EZXCPARpR3rCTQ8/EUPPmI8cxWfuIHvFeC4CLw6+4pnW3v8zjIrk26aMX1UO2TTjpTkPjj273
bM/T3lVXTNKJOTy4HToJ8ajRSm2o8lJU62Ar0QCgulYJKJNWFrXJEmG3a3F2vff2eaqS2OenyoNh
Q5eBMy7ZJIXVLaOcOehU5Nqt/FqSY1kCd4MJC1kHqOChx6+UxMubhaSzgryWRPqUpQP/PFSKqbZZ
JAVZoBgEmm2TCowsV31oU/YtXKaopY2rFjbdaGDlsjVlQckdkQ0i381TlfRQfCdsVKiCckW8icaQ
Br09aOSF4myRsOSAN44P0UNBmzYesKToZvmVZErED4vUWPgSoNdIWuLtcsO1SbjTYA1JJaFDNVFU
cgR83dLaH6/hYLjpFC+DMWz+zVjjyInuin7HcK7AGdNcFr53AUeyO1cvxWL/Xt0sPazoclwoj7EG
zjRZ0K5Os79otAVcU0539oH5KGwYcE3ixIcG1Ww8cytuEtyBm3VSkjk9CRJpKW9m0AtpVdZcaOsu
MuMjP0Dmf+rs9FjgNm7ufqhCVhIeBxBOl84MGLP7Lx1yWMTDTgLIt8ldCnxlXlrlU4xVy8NYVGd8
S7DR/FiujWVzA43ZloZI9AFDc+3YVpF/X9vdEj3kczDOnwsyIrACwi94e3RWrRV2oIZGzEzqsYYP
JR4gdU7F4LoAhT1O/28In/LgNEG4+P1FmJ1EyNMcX+rLvE0ZjDWsh5EipkeYKWLf8gA2L21VYsmJ
+SMQzKksTO9mSBvJqzZAClEVoydZvT93xWpUvjE579LSxxd81iC8hrpsRZxrGDqZkSW+1pUrZGsG
BOE+D2a/lNmp3+dy/7IMG9fl9Ia1fK9RcRKXkRV75r2s/Jz9BW59nv8CzLDcF0hxMb8jHqfu7Kth
dMb2Erj7akzvcO/JvBlvdyVtXGKZH5EzFrs1VudR8cCaISBdQOovsRQdbFOYy0kzAK9msTIr+xZt
YVe0sDkBvON+1WIAqiG14GavI38QH4KwnAy4J4WwU3kl1jKoKqAbuGjz3fyPOnSt4oNa1rO/smXL
Y+MKE4w9Pe8itMf2IiZTLkMlVkgM+I7bzrANUZ6EUvaoUb3EFMrCVJrOwrYLz0SLSa7Ffu76xIMj
wFUn+Qvt6PKLckmHi9nX3gyEW2VphlF0SMRzUDrpgtBL6zmbNeOw1d9ULbFw87GBmRVcNtbM1dnJ
flFoqtrqZRiFxh/CG4RziVTp0tyf43mNLH+Hu3I6dKzm4bfUt0lnBgxFJW0iJUcVn61YE6BecAkN
3FehSSXW0lUX9TAoPnE2qfmyTnQXcGc69SBN++lTV9tBdmkdT9RA+IrkUAyVH64S6pyXveIBgtbI
O7Sv+CxQJ3BnovSsWLTdNlvoBleZpup+lnqlCAKDfy9lgv2rDvqZFphd7zygc6LAb8cyDYDaUVtk
liRZeivzsicvb/2dvBlVKPMmCSmi9dp6bMayzcyyODWRQfRGHBkuKpVebbZF/byD7RicbQu/kBHG
042TYktaL8YybZmsAqVhUo/mx9o+qt7IXaDIB2jjuWWqUmLU4PKscJByJA5ZeQoUUyY5L0Xfa1GB
ksi4zSCnn3SVzLCY/eNwU9CR5tqdYwbU5UGBjHNhyS3oEhXBc/WVNGQA+2VdNv2YVFV66rqcZxr1
RlBgmGwY4udTYwzSE2Mh+OB+qyKOF9qlSyfpQI6QmZrlf3gvD/b9fxfbYQBatn1k34umlP/eUcAF
sXHyBjSqo0wrk7WlH5BprhL0sPcq2/OPxbgVaIX0MecGEz3NEu7yXNPYT9lOB1yucPVtd+TSEG4K
AfTk0GZAVpUqomhSdaWzKpR811ky0MYFTaJntqgcJsl10qdD6P3ZJbPE6isbBRttgvqdpQD8VX26
6t3QE8nBQQP4Ja0S66ikoPLlkrmhRuJJlYKiQLlzmDhr66kwws187P2DauumLvw64K7K/kghl5t4
BiYxvleFH2qndVUJeaprUrKDs+BA1JD24qa0kzLOAflGMctkAGELVqy2X0UwdAY2MIx4AHVJGjWl
czV8NIDtyVUS9tElAgywqVvkeQJm7FbhCStOkjZnHwBwHi+zaRLGc5mUcF0t20jlEOhOQB/3BCZR
Ae7y3p5RApITtzfRKe1b3OVQprVj7NdqaOXz5Qlx4bog68ZRL3TAAInZl5sUQWl+thk4uD/oCbHy
6k1yx0qWFBmEGmDH6vBB2ShZjh53Vk2V1nhh0ZFyo2hJZcnEcyhXDIwZ+85rbI9Giww/WWedYppZ
MEhjsvXTBP88tedcmXYGFUmX2ExzbVxYEJ/EYzhpnZ219gQRmOwqXf0T6Q/5iZzoEhuts0nK/bQ2
rOsFU0eoVDwmRwFXNcJRs/PVeUT4OkItA00wBIyqTqp5GlR7iDpEVgvN/KaKZye6Ce2LYn718tzz
Q+PYLzJiQTWkCqgaVWeL7tgnPU9kVm2jqkORxJ2kyIN73RU13wvhhRHKVCC1mucUWSjaE7XnCilw
7mOoDQdt5zCiHQvuwqnp2/yam4nvvtbqYbc+WvOXqSAVgSSDDI3hB8c3JeHuiDQdxeckFY3X4kmQ
hn9CGKUcjBFACg6UoscoDpDeU5Q0CE1dISTkntqEjLh00yfNwW+jVwm0cwn+r+w0j65kfLTZpVAa
NIv2guffj5XXt+/NJSfUPq5zqAQUbyWKWpjdo1rrPYZsfh/mcxjme+XfabDCSJeptE4pwRSZH/eF
OJAsTsmyOU2CYrScNhMiF5ZeiRqdymO9ys8hCCIOtrSqJurUIRzQ3Wu5GnItWhzJrBx9k7UFkRMa
P+xJys2y9XlUEiIMqc0UXhhC1rY7u3mVjsV/fj9PvsUoCD8k3hMmJfSIIHXfYhS7569tnjbVfV11
iLMRYqt+fpd88aaYLG0z+X/6YJxCjPDAM8D+HuTVWyiuKp2pD9s9uy+qrA9fNyaFAJF/RwILSRS9
sdbNpeGooMz//oPfkiFA/Ay0oQtvBuvh/qKCNYyQMMy6yW6bZetC9w5gdfLT+4iMGSTcSBzmILzZ
bXew0NHsczZWzcnNN4c0G58zdbAfy6O0TCbJI+U7FIHz0r3//UW+ZXKhb8MQENsJUK4QFP/WAryh
dgmCTjg3Wiyo5IirjosbCgn5muHaVcaV2JkuC4o4WcMg/LROouu6m7Yi5C2P7XoAyh/a3GjTE6I5
tMZxzTJwyIlUOX19VlcVuUN5ZTRVPHtDtRIxRKfqZJeaOBdwXLVbvIMV+P3XtA748x8YGdy55eOc
t0zySbEzvoVPTKQ9rE1hXycv242Q1iltXDLzosjqibGbiDToSZrK6f1P+xKtSXohbDdr39kqR853
6LiZH4PBMl6tmaJCMNVBqOhYPK3HBt9EghvXATrw7GySA2JMpyzb2+FpgMvezFMdZJlb4Js1pe+j
Wao5IBOEtBsmu4W4XiIKmVw2CmF/pNQhn5LEuSs6gcEwwsFgc7jLM+JV5wK1Vdf0xgmN3W6Jm45I
nTGH0xm97qmlDSzrG0Df0f5GwCjahcvm1U7wUu6Jh8k2cI15LC+J2FEEP/R2Ql99s89kHDyjxtpq
BhiUOl0VN16Zt8VNtUVN8mTJqRvdrRcZy3BGoNNF2/M2jKHTYYfOJWrgGeGeIqMVBJ5ud+aI9209
O0uSG+VF91reOIar8ce2ER/UnkZnIJk1bjEaG5/dxTQ9YgvbaNiqa0n+jR3c5KFXUeuXDTMARut9
2qr0kotxhBY4NAa1YlQSnE7BX8TtZMVNygjSA9qVDea889BPC8tuV0Gcmk1b0DgXOL2NjT18FusY
9OlpcjYm+ROVEdXnXU1s0Tx8Rje0Y40y+4gwiw9MhkXek5bUBuZI3O/cld/mbF3MV7pfO7ybu8Gy
0lO5JtUMv4XkAeZMp3eqoSkPs5kHMpTJvJWPIuxkfJLyKuhIU90LGDxS2gQ1t4m9lQbnqexkNy0w
As0jXezizXVs0+GJv9VGSosGvi8L/AWbgb+RejacF6cVxNgVoVG8/MsWIwbiZxwaDBgQmNJODLWL
ZOAtMYZlr0FH0Hl3os1yR8QoWdO2+GwhqyQXk0qY3Abk43iwm0SPV9HQkdthJ8HtUhGFel6tNQcP
m3A3njvikR6XZerA5mYr/VxVM7E4kVuny5Md1ON4ylbXvze5BzObmfMyLe8Ru4LjlacqmkbzPA/8
XXZT26XRvitKYnXujY7Uq5sZW0R+ztpcfEvGciuujpcvuOBsa/hIDELeXvpuMqvTsIfehjfAt5c7
Hw1ndW2dJOrOfZIG0ymfVgSpZ2sqV+shipru2Qi2QMQmbp8gnutsOS9Mg3vcZGF3Bp1po/vUw1FD
pk4TPBIa0ESXBTVxyJctg09VM1tP8+CKBWeKY3+1/Ci/r1Zv9GNQouJ5qKP5PEy59bLWaxqX0/DN
z7L+xbDs8rlyjdWK98lFBBLDFia1IO4rI5j0EbgKLvy8eu6eR6fCGerRfMSDY/wdidS5Id+wPm+Y
IS7omtNT4I3hLd/VuphGRg1qwT8++4SqxCMCEIK6ov1x2hM3jaMq2L6YlbtfYfXd9iSsanwn8r57
nzjd8JTiu7mW2+R9nELDuUkis720RSeTDAEPHiDzmhuTyeFsgd3KaJngieSh9LYj0PSz2XnefzY7
zL4k4zR82GDnH1Pix+6qcZjKGBWie27z1qJfWvaLvxYuqqe9WO9MZ5ofWrRQ71p7tC77MhSXsnBt
YstEl8YIu7a/u3ApP/Wzu7yvXXO6J6Qse14Csy7RJhX9paqH/QFHVfSJ1K3q3koT732IOtqNC9Jc
Y9Ti4YOJ+PVL5c3Dl4hYuxsUN8YJnCS59Ya54zQBdDsBFxkuoGno3rrCbz5109K0J6nBvzqbML6l
dt4+Rm0H4sHQ+Allto3MfnBulqC1n2wnNc7LLvbv5ZC0r6mfk82zJca5FeUAKJVYrxYJardBu5W3
Tu5t73bbmJ78dOxurEyIu2wpsDEl+4aePA+LUz607nuSisP1Qs5xw6dYycVgdn3oOneLizAcgmtY
lcl/URq/RH47v1ocbzfoFKO4JOgBk5dHPcxL87NLAb4Yaxm+89IguHX2vCWebOQLAAt7n0Oaeazz
Cz7bcxu2zbe5Lrw8xhndPrI0GROibmGf2A3mLkLJ6C9K6zElYObbmrvGfW8PuL8Yd+48ysmHts2x
kJKn9ULGzB63uyi+ZU2ZV6fFblDPe0sDUpJYmJqJgkMlLBx8qEvVvFJQaye2+aWIOXhKsCUsefFm
G/2fmxHMVw/P6l05dzM1I9vLD0QUTh8WDhvY+LG5mYm5ikNg6E8+Yks7TurWKsuTkYuMCRn8fBXX
Kq3H/1jB1DxnNGsXY4F1PiciMPM4BZq74P98WQryANe5/SPb7emORPu/xOi8+OD+ZH+X69WYg/K0
R3Z/ZfDpjDtr6svoEayuvuWLVc6J9qh7pqPIoivUZiLQAtgcyZkBvoN1raO8NmhgY8gq8xsKivW0
RB6vCHA74z9GOtmMg0PuNjFXVf3t7413W2SG+9DuW/8V25pxXzLSsLnc9Sl1neV+zscCxYfv1WeS
Lfr/LJwdD9bm+V+Iqes/1ElvuucmK6ervy3+i22N9XBOEmO4DyYvIK2fhvi7kdXZhiaym8j3sAkS
u2TemD/1qzMTapOM3bkrvaCJowDXcfgnpH14ssdhIxyQO3w/i9o+m+2CNH33x48tIW6X2S6y/AqK
YX5MYQJE3IR1whdqqSWIeT9ixzc+WGTAfW+djfIT5c4jXpQij7nx5v1CHtoldOb6M/ZMULZ1D78l
Tpt+KZE0jHErJSoxd6H7ZEWFdy1Wi1T2PBmqm7QN86+uP4+3gbFlr+6IfsBNpoBElIXp0N/tKl6T
JmFrYrm9EvDX3+c2r/0kZAsUzC2Tc5F3+d9hl/UnGt/wwwCSRjycm95W4b4y0I8Txho7fah30T30
+fbMhf9VjH79V79bDeQnKYFt6VC7e2e6IM/N+V9wdPelO0XPmJbcy5Z7w9Xpl7SOvSXvzoVneI9u
t/px0JlfydZxH9ZyxQNYOdPNEllS8s7ePedDV/25u3ZG9rfXjmhvpui2c8Xw2SeDiCS1ssyfjdSw
TxzC7cdmWMWtHxn7nUk1u1m2Lbl1+eziHAjX+JiFQhDuB+5ZXdeizJubMg2z4rtS14MSSkXxnock
RZS7JTND8r2XQJyyjHU7jVp+ykkYp4u0ozTHr6XHRZUsoVAPHTuiVW3jIvVJH7WSvaSgMM8p2DOc
ygzgEF8eAamXifS/KjqtVbrs+UuAcZY+tuAdEPwTT2Va0VzJoVTxeTt5MXMTm92McSoGRICfW/Mp
7f9IvKhexQ+gZW+QdtD240q7ixqvcf/S2CvUBVGgp7Em1fa8zULsT6hr0uF2SKA3SKdKu62L2XV+
81zU8yTmOI28qbjMhPllF2McnOFsGA2AhpE0W/jdJHI1uSey3qoxMZW0eAbvN1iuPfR788Fd+qT4
c/LSduqILxnb/CNhnollAcyWlW0+QPqunn9D/EHa5/FMpCxhxwsB+ttlQuEYEnnTl21M8EOKTytZ
Cg6umPANaYcaVxg3zXAWUYVFb7bodM4KMYqOJLR+37stQvGS19N3AofLGYEkhgTv7x8hdHYXlk8L
/HJ6v5k+WywM2u4mKRNIdnC3cve/0ZAF+WUultm4QddSNu91Kn+9Q423PI4UblCxJBECuJAZJOM2
Bpmwxv8ys0qZjbktclxYvVpCMfgu8B4/q9Y4Nw0Jo2l6AVU/dtAYl1o/ftARctrRFSVu5fuXxOHw
G57ppUDLF21mUsSJM9t7XZz20Bi39IaEr47PVMSisRMheKfwQUmCkF91cCVaK4wMSepXWedSIoZ2
XFpLFSWRqT/TdIw2XrWLLTPJM3ORhLBSnqs5QtshlNFVKCNYnzcSYmMKktC1ueBWISpIeWA0h6Su
pnRCnm2jhMsaPdTMjrAkc4ZhNGkqWXzC1brLAuEJ4w6uz8lJvwm4Ne0N0/c22O8S0Q68Xznyg6F4
YC7GihYLGGCzu99TXsEhTjZG0A4XCzn0bHL1zoqGqPYRhWGm/FJhCy2OzdF0JXWRBChQAK0TyyAO
fLAFigwSz0ssoTfaNdL2oXRj9tkC3KspUIXX+WbITdcWwsmuMyj51GY6mC5hToTjdwLc0xbKMgkb
L2D1+BJePJSzUomQhXcM60SNxi1vDCGWYF92gldurHaYN4L2FdLau/a6IvoIDGETi3egx0I5fYVt
76ihjbYEvo0bh54Iv54ywGgQ2VE8TNN2koP6oeFVj+kHLAtZDYBaJ+0OJSWySD7QhIal8h6L0u3A
/zTqGBwqdW2lZbKQsKG/ZtZa3NQLfmt6n6QcNrpBYiG5FNfG74Utr4EKhOceDQgwvKVyOfZS/fC6
qQTDeYcwaXEULVlay8CZ3v1CFKDMjZzQz5jZKS+YHHCbeWs4E9x4GO40D61Nf34vBDPK6kaZ2cUV
uWrry0ou2PiqbZxtlOMY1sqKEVQq5yqWsd9GAk8OPUKUb9F2JvlxW78WlAXzs0mCb0d1jrKivmIt
FeIrU1v+rZEpwwt8eWSVH82smokcXp0BnH4c+sJ9yfa0qB5zn3D368A85n9QtWTyYfYh1A5cfUpr
PAeGh2k0i+Fv/xdJV5tO04zaiCGULa4WubyjdjVRKLTRWXusxaES5w1NLMmmmyVfT4wDnjbEErVP
KI/SHQ/sWu/rEqxW9Feb0Uq/lt4kB/1BSdf0pj3MEQoFGhNTqjqw3EsiaOowqX+stzapv3U2EWVz
DKC2bma8uQQq5ydVj3QUkdLYEGEsLwcDu9hvtjpEEZMEjdsxDx65Tl20IPpQt2goy66WYH24JawF
xsf1T8WMWmObcqdclQ2/HzGRij9QJ3aJ0IrC1ayuPO3ly9+4GgdAhT9cElOyRkrPpGq0Pua3AMKm
i8rN+T566DZqbN68GeCD9i7jDJI6F0UD2VsgXyhQkcxqr+cUcbX3WZUygomls06z4Yp3HhWAYhKP
iLxgUbr9ehrlP5wPqiPhpT2oupTZHtxLXqK1bnKndoJ0ufmdDt8ZagwzLcjooe8E+JGeQbVMgM3k
8dP2nfzyKoqYNx7I40d7NtrGXlvIEGHXK288UYXYRy7AbsciLGU/6O2lMyYXRHFk5whVM49LrZdJ
0W5FvkjxgsPLt/YXX2xk2d+tG3QXaaAlAHBNP9+WhR9cNOvVrwVmizvhV7ISAA3KnkcxqFsXSR9R
gxig7WOranMqvfYNqBzGHzmrWyJ5XYGLloNsUUIL9dy0CUo/bGXsawm75+f2QyrLjb8k8njOlaMi
aIODEDgYSNITZipeQ8ifQRw9htaI5veIdhiOMAd3L8U83CZ5MzrzhdCYtqrugT/DfrixRt52BR8d
+etKYqVfs/hvSO8qTVyrAWiOuC/rTLoOBdGiSOxnFAnECcWlU+HivdWcmJYHO+4g+Rx00XK1YtF3
su5UNVU3/TVWVjvbn5zBrd387JliC5arZW0yAswkGpI7ozj0VkTSC/JDQ0cDL9nzivbxg38cOUY1
yoNWpTakDKDSEnnorLWnkZZY/lTSCOUNJBxBdgDdwYYlyBC5V6ZKy1SHFyyZj33akX5aiEQV2ifa
vQlwjBHc0Xa36DkIk7tvSfbl0vZDEudO5i69zjXEc3UWBiPlGdkB72B65p0YjKbn1MnWoDzr9yJo
L1cUklthfynIOqoiZLfHTtbLWG3oJhOTkzylubHuaIJ4+0Pbfx0ttFSXlpfBiO0Mfe7yLXSn46jn
n9dG4EyvvPHkWF6HXC1N25alXUZIjeqLH4w598p0B1l1tYdZBwEoT1yuFBDEo0hBlr6B5VBIqZy3
VFIg1M6D3KFFkkliLV8Decx2w5ECOsKecAsHoyAqhyTKsUAfSAYSyyU7QnZnN1qwW2uZhOahtUwI
4lMS7tqxp9MfdOCbMZI7il1JZZ1qXU6Hc4DHzNt+GV0+lCWRVc5zS9PHy/GaAmcEpmCOYP5f2tY7
cVtlUc1A9CvvJJCtgZmkEH4TgkluUeMTyMQLTCa6I9LaVqzGxmkvEXWBOKNKrHnN1NFGa2khJk/e
JnQnDCcPxvOPRDtehsVzsdTrpXqaFi5M2WTUiSgijFfeg4HtgivQpmlvrCVZvfEuIHjIYnNLe/hW
lt6RN6BaW0CYgQeoFJntsI0sMr1mhs6WRDxiHhl3MyUD6fk3YZTAMdzk2LMOc3hDO0ZXJreNEpGF
lSk3mb6vRH/LnYK4QG7DNZnk7jUXyokXRyMxHuZ5Hbqlrk/qbANKl1qLDTByuQSOuTctskWnIBdV
rxk9eRD2fwwgIymQd7rs5yoOU4ssea+ENNrqMWkjxne0zg3mYvgPNZGm7Sj1aVORTdwzdcjrPc37
4NR3ZyYurr0K3NusgNfPcMYlpL5cVSqALtiG8pvz5WV+gH57WK1ECFqtEyh5Q7g5supqjtXdeK3P
gG2WnygPYRkdicdWHjm6ZKNEkrV9NslwQ8KpTOFVQayJd1a5kgga3O4G0ZWzWHfd0X1rdaDRObw5
6SHLLSrfZSaxjC+jbrRachEKRe6R+iNbyYJU5out/PY/nqZSTqbDKB++6a7gTTECcFqofSQ5Avv9
LI2ohNBzVG+geLPhx9seodyMTXLcmi5OYbaA8YGcTELHlIxWPQdnCuVDV9qmIUylh1epq1PVcuuD
PGJ24qMiFcGgfwd8IB+R1mghnpUHtDV6WcgrF0I39Yi2UJuiH3FOFdcfEeFKwUGQj1yujTLFZ0r+
O5CmTgeFbtPg836o6NQlT90KBKAFl0pGmBGMwyPSWi8l4eEtB3Kpq3PAV4AGGOXxTq99l4Kl0enl
vTe3VcZFyJspBSvKHY6OUJbaCJsD9zu1WzmJ6ZfYCSuQOAp5XzJbYx8IVSBeFXiDCGExr/JhbJRo
flgLgs1P0WHkOktCD727h1qCi1BZ+7Ny28+8aISfKcc1eS1HD6O7RREtiPXOMtQXYdyULOmI5EaJ
rJm/0LXwQhlZ/KejY1OgTeqEIJgnD3Qw4LULHDc8G4ZRmT/wP9Sd2XLcVramX6XC93BjA9gYOo4r
opHImWSSIilKvEFIIo15nvH0/YGZ9pHoavlUX5zojqiLskgmEtPea/3rHy72BpnCY4urwpsv5zBq
C5PnXOxetm6yOakyjbN+qwrJj6IMOxNL4ZJT3VegGjww5hs0cuYhXkxUzlVU88YOzs6VfmCUCxUy
Pq8USdz1Jdgo5Y2vHMQ5xgvjO/qfCzPmsi8wantDy87P+uXaKaE+LmvbG9xyeePOteYIJYTzuNg1
XNggMD4W6uq5fPLRVvOmJxUtv8VCttzeM9ylRuUbTHb2AbnkAKhl0ucUeEmjzA2Go2GX3GBVo87D
qlJHR1D1LO1MEdcLYe1cajNTWGg3F+WbPtvltNhyqVgQQf1ddlMk3UsZK6C3LzvTGZ+TerzUxIkv
eMzPHEU28mnxdQ7IZPp48dm42DrAC13W93MrYJ9X+culRkexbOchKBZ33TLfyPzW6IfaeG0DJ5rG
yjwnWAqNWl56F5OcCyPyQhG9LEBEHSx1yRn/OjdAyghx4JqMGyHBiDt9KOzLJpI12qJE/sOV4vuw
BUhrby/dmZQIz2i5RI2eIMDMme9BW83X2IgvEu4/dLpnIhG92FLrXxr8RRXNr/zB8znzEXlN6RLP
j8MFwiTOccJGipgANKzZG+ftArmUQdxaGtEEo7oJTWXZDy/8vfODfDaTJsit5eJhwLTck7MakDpR
QpnXlaa5mCzVKK6b64zlu0CD0mfTKa1wdrfdM2N1ruuFPHuR+1x2x3MezCUg4WLaFlW0KWINj3Gu
+4MoM2qVDWq3uicRRwkW2udl3bMGsoqj7cWpqjpblP3Ba32r0QL0lrzlFzyloKlbysq6X17VS6uk
m8NSNhTnIJjLYnWxs7poHfJz5VZIe3EECyG3UFBparv4X5DLpdsNGyn6snILZWH5RhitLfICIe2w
HXFS8RMwpsu3bZwILfbpQpdlsrycUGBOo1pv8fa3xeSB0S2+2ilUIt7LM6vXXJp/Lt/ZYIvYLZ46
sDFutY5rH2fFS7xkbpzJ9WdY4MLWPL9EVgz0T1NaGUuZUavmYvCDxn75VCvLGe94F5pzVbGUsVE3
byKbi24NvHTmdOVcL4/CpTDpz1Yx87mSgoS7kIgXe5DlM1W74w+ac1lzkV8oJIdaTMTaGM/i1VkW
4s84b2m7QbYWpeOll7xwys/1gXhr8bsOOmGwDithtMk9y91SmOO5vFxwWzWWWyomBiOAoYSI2j4s
DwuV7GUdD1PEOfxii3QPVOJsXXDRdhvGUkSXCSl0hQvdbVncLzT0y0thBfj4fXXAdHn7LoRn/2ys
0ZypoXUeThZvZqI34OUXAOLsonXhlztjE3TrzG7R/DF3eitFL5DzhXW/iHO5heG56rPPzjXDGTzM
z6TLi4PAgHrBUFfFkDdT/1EJAXnpKO1ciPEwC2JdCJsws7Sbr0to/6O8QS6G9dyClc5+mYavY61S
Q22sJNfiD20Cu8bchprZSxuJkwg6YoYsLJVdCYrcdavYbKfqNdDKoh89FIxzckOrLVLPLIkY7p4a
7EoM29MQvGAnK+dZt9alDzi0nXurNL0FjRLXTYyt17GvIEWFWyelE7+dwr7T9/mUF+nHnMfod6kw
1v2Ymp3Tb/DanZlrxtlkAsdDnToUQ9V9UsuqLm5QxfnZ1u/5frCodBjdBe8djl9yjQmCsQXzC7vb
sebZ2mSaP6nbslCH+ajhCuMlRazBqC80i7ogYPmFbmI4xeS2qLw7Tx1G+F96Ew6HWvZmAVJDfyeu
8jnPBwReZWxuMLdxcP/R5qE42lE6q/XGaJy2ZVhik38WbYx0UMhiigqlu1asZEynFdxcGP1uxAhw
VFyZ+0Oik3Om5rrFtFbBI3DVzfUwQXWy46YnlAximTGuioikn9iNyJWCvx2yPpieymugI6g3VHnl
QzPWClcJk95yDjhFRa3p6r1Qx9nrmVkNp7Qws/pLIXNYLU4fyuGIirQrNhj5ajlJdKm6i7CjwNkZ
tcupJEq33Fcgnsa1kzaFcpQFPpjfbBbl8lupmmYMBqqgUX/OZvhOyTrsxt7o3QaaeQkyjNvBVzMd
mDlhQP6EDIXxlSsvlltv7GYekYVSL9m4wxas0Zwjd+gsvXiWM+XVInEbQdsuoTln4NASQaBcwYzR
zFtIMlwZtzacqdDJp0iYRWH1zxAqmjJp7ILF7XRyM9SkuDecl2UFEgvr6oX8fSmUzyX+WYUQId3o
n2yQdpqDc4lUBIskcHu2n9HO0UpnX/Yzm3pEvZ5cn+nE5w+Jz/NLVr+ezfn8KULMFudEphJTncss
I870weYN4z3wJ+9MUr5sOGfI8zwi9XF+elub8dfiYbVg0qurrgDKhv+P9QlBMdo8y0e/r2rVPo3G
nCv2OmkFw4sospYWaRYw/V4bUqIKaMRvheifPdtSHI2iYnVr0F4UD21p+/nXqE1M/2UgIR6BpNqr
2V2btga+Es2ibTyf7XTBnd7+6cyuj6YhAmGWqdpqDIOa9KPFTjatC9DFzsbmUQlG3cOWdsEnkrNH
TvRWlQScpAaHg2zqKL+SXVza22lsoWb6qkbi3qkSXZCi82UaTRpOJ2knGuKJxdBQUqC+PZl67s+f
OgoPMslMiJT9CmUYeMFabxOUIV+0VIuFsi2aNMId7oPV8PFWtYPqI5z+GNYdy5+ClnIKCwcz7CgK
CK1cVWWPO/WYqbJcd3VVVy6kKU1BykYc6U05OhXkp2kIYkoAaScbjK/qjWyHMN067QQ9CT8Ay4G4
Hmr3iapU6k2DwsrrZTUyMkrTzwni1Y+Ydye7QrO7b2w+belZszqtfUf6aHemkIOmVtgeARFxvK/7
cnjtIzC4HX1d8SEExbzJ4l4/2HHfr7vB4UVswZeNl5L04txrCKast2Gfjt9qA0qZa8/aEK2Gpiu/
VkGJP8sEB8hD1W3d14iVj/igGleYeOi5Ow9xOG00mVU3phzjr9DFqxOrW8pdjo0QA8VMfwzLWtlZ
Pus8itGp32mpGNBi02Srz9CiWdXSsmifqOWDQ8PNT2vXLzrd8gK4nnsN9PsF5cV4wIw1hPVRO+hV
GEFw8ZKy0b4ygkjktUabl2P+PcRiFTLQrty6jkDIhdmb28Ci0nMjxlrmXso5ShC52EEMGUxrvs55
BgMp0EwdtzTmd/AoUkxIJg0hlhar1TXRCUyLcyvVEi+mQWJuVxV7K4t0Lxb6cBX7gfhkq4X1jOtQ
9C0Kk+4A81E/DaPgKXNMf+OUmgp/KTUO2tAk9qoFtx9dTfXrA1YbxWf2NnaGHtHSZ0UY+SYMeO9o
9R47mPeffPoh0qiH+DZXnWzTaq2zlVIdNzqu+89apoUf/UiaK+kk0WZQZv9DGMPdsQYtZRLbaeMK
S5fqJjd0ltRICXsPhl1WbfXMil7GQhH3jd2E4zrp1fob3NfR8mA2AgAaodKXbpkErCw+LparqkYH
SfYS3lmpkpQ3djvWzVrttCzzeifXIZqqUb9FJj58iR16MS8PGnWlGX4PMWQ0jjHGzNeSPf44Bx28
wXCS9yKv0k0X+wTH49S/x+4ugBPZDoO/h7vZBWvWpeLe7qbgCrPXxl6XVHB3QxANL1rZBnRvvc1E
Xo/LpvY4Ef1eX1JPb9WRWCIm0bGtrkocka85LKLVwJ83Vd9m31IFi+mH2O5J/OYvNvYyH/g9Ys/8
kitq7u9UpTe7R2eCzCSv7WG0UBTSfs+O+SBt7tCYrJZfiYItBuoQeiGsM0BF5KR0odaB1xS+0Nfz
BBSMzrLNxhN6qKS91gYkJHvoOaXYg6Ml4us0kUMQr2xnsOXHAJ1F3LmW4G1jbdGAjFtvJD47O6mq
luGWBGMUy/7MSybFdGYdCSARevEpIhAAJlFLR0M9eMD8h/09rafBy3K/s65HNVaZRBeqql4NU8Bo
N+/RsW61KZpvC6xHLFdNZHMbxQ4ad2IMtNCpIShCSXNjlQH7bkJOV5AlwazII+ukRTDTBZW65zFI
9du4S+X8t3GGP/KEcVTBpUMHXrAgqRB5/c4dBROSSUiYXDv9TbJ4aRBbdrhLHOj/+Db+z+C1uD0T
/Jt//gf//a0owYWCsH33n/98KDL+9x/L3/z5Oz/+xT+vo2910cBM+OlvbV+Lmy/Za/P+l374ZI5+
+Xbel/bLD/+xztuone6613r68EoqQvv2LTiP5Tf/qz/8x+vbpzxM5etvv3x5yeCQRXBgo2/tL5cf
7V9++2Xx5eCq/plHshzh8uPlFH775eZ1+AcFVd4M0bfkX/zl65em/e0XxdR/xU4HOxsNYxlpoDv8
5R/wBt9+5PwKRdOkZnIY1TKF5Hh5Ubfhb78Y9q9ILWAV4zipqtgL4X/VFEgX+JHxK6RNkyCEy0/E
L39chR/u5n/e3X/kXXZbRHnb/PbLO+MVFDY8QHjS4YkhsJh5n/bqq6KkWbabXdWm8oQmOf9klER9
ebQU/kGbjPFxtJTib0yT3kmZOKouBKZdHNGArv7+8c1s4AQD3tSOdfh3naDWZ2CCiKxtNXzUMj/8
G5uV94fjQtm00cSZWMiXxPvUp0xExIvmTrJLJZoSlz0s2aGqj6+mqFIPfpt2L989CZer/LOrqqmU
00ThaBzR+WuWrRbFfpfVPnw4pCxrFELNvch8dYVpss86FaTONhSVtv35Uf96mpamS+w1Sf7GjeC9
mUwZQ0qsZKlsB3WwSTCJMsxke2zICEN/aKpWbn5+PLbnvy5DHMfBzJMgK0w9l2/0naNnWdJJ8oDF
uxHO1uc0HcuP1CDlqe18CfHWTspVQ9jcIeia+INOU0zITVoCjpvTzlC7W8zpWcQL37lJUiWOt1Na
amynkbF4uosHBZ45xAQQ19oLRWgc0oTymIBD/bZpm0HxNMgyXgFRkSYsrJyrUJsL+mb+MU40kjbo
58tTE+hyp9t1+hH5Gl7nDf8GvRAJm+wU9Vo22rxGNak9qEjZ1kgYnW2UaQ59UlloDzWw48GAyn+T
BcF0m5t8ucLxKccy5sVH7PbEg6yU4jPil8JLs6g8kWBdbswCWgchHcK6wwZU2wa133h1z53XsUHZ
R1FTEYPNd4aFP9768Hq3c2L4z45JPaTS+Rx6PJU9HM0J5BJ+HVHaD5ySyFseIQeJx7UvWmMDKmvg
ATyQeBE6hepmtob19uiQcI80JCjuZ8sPSxf6Q/b7HPRpsYoJw9jkVmt7Va7m2WpUp0WxNSbO1oDD
eJsXPL/b3GjTj3UgxXScHKE9pVEkMFLTSmteJ7bFd8BzHZVC2sO09XDwKO4DaNQzFNqB20VHXEJ6
9gmC033G2ut+TJXWbeBY3GUT+5s7V6l9NxuNfaerCJA3hmlyzYmHm9ZVJauH5T2+Y8paZqtaMc2H
Wlq9TjUXto8Enc2A96049qQIbhprMu5ywkKh1JeDMLwGy0hiVpREP3SIeia3YGJ65yeW+btscuth
QB12Eo5SfMBixqeJD6P7djI04XKOA75Klemvs2E2bsoyRvs/pVGKFKepsFrPs48QYUx1pYxlT5Wl
9w0pCE2Rvg4Y+FZQvjNsX2SMCpSeNVOPEV6J+apU9SDeiqh37lUt6IPFKbv+FFdivLVyrfCmaVAi
vmfarnxoUdj2wXH+mFOXioMYYhAqP5elN2LZ/oVRtfICJKqth86BO87A76Zpi/zetjDVdG3Hios1
0CP0YFqmaBvGpEcCbUzKiyp645MKCLDG3t++0+gx7gmTd7Y8MBppV3FJrgGLB0wP8TDOdH0bJqwL
Cb8awMEHqAP3gyBAZ9c4KZemKHj67CxDRDBUPJ1myXTXVQxOq4mA1+jCtQ4hR+xc4Uka3vhdUZ6q
DNKA2zvUXy6tgty1pqEfJr3n/cG92qMik9fCybV1j53IiTVviFeOnTUvpFEPG98npCOT6e9RbbdX
DDKLqyW17nmWyeBvSugXx25ZZQhHse70Bm3wQSUfoVtlpai3nd6UBt7lhJO5GKk7W2AB4o0GEDex
fVsuIZ1HpKm0462jd0QwK6wCYcRvZiovrkV+yq7suWUWXtUUfHC36/U4EjrjjsnEk17Hfhrs+dvq
ztDhrLt+LeWRW83bLCr7buGNPWAzF4jDkDZzj8ph+XZ9IPXdKFOtXndRp+krghKzK0ezuh2kUN3N
AWdOBLr5z/BV8nsUKdTUyHxsdrGSVxBTTuI5Wzuc1rD0nCvY7s6VXas5CU+QQ1FmOM5zIxUWg9ic
nWdGGsU9rr1Tt5MNo0NlCU1ZixmDB1cjZOMGtZm2T5Gl79H/qV/npq6fSBDD7d8obHpm2XIXNTFN
wsNTynhChW3tcFXijI1e/UbomUh5Ny37Sk2y6jOrJaGDk1pwLWzE/NBVEBfymw2WMv5gi61TOuXo
IVgbbw2CSydv4JmIV30+RVsrkpxdphE2tG4UHqu1TMnSWAtkGjsJCo2XEjOuyVXaPkVZAaoS4/sw
IAsJGGunCN9mvhiIBbfVGNvPkBjLewWB6jYx0ohnvwmzGz2bgmuYZNzr0WbpQnLBd9bDovdIclJO
5EZHj2lQ8zphf+NgFMjZkVXBJwMSyqNVVvwopPYp3ERCy3JNGJXHOWwqsOWBORDtIm7S6YE2nFgo
qA1Xpcyigw2fhmyH4lTnaBfMoSCdL6ujNTkl7XpCvLqf3pb1Du/cFfu5s4Fx1UEwqooXP1SVnU5s
wKPGyrCxyxzRPWJHb6wGeUBxA5xPy0Zj7TTreIpJHDfmeENoTLzTRgR4sW/ZhyyylXttKLvHBiRp
N+sO0x5w35WASK7gf8JXstJWuHFmMhFWUF+8dH5TbPOw47wsfkxFhRgMuuOTEvTdHrf8eAPXbN4g
T4mvsrS2nmMT7eoMWOipkFOzVS8z9YPEgZcM+KLYokAfDK/UfUNdIi78Zzuh+Q+SXrhKpOIeILLn
WVXnD03n2wdsKcz7kjTqQwFyt7KB2Vaihuvsio4JG4B2wazav06LVPCk9lZzUmsRKFuF5K1sH05a
9uQQPjkcfT9XBlZfpzWuMTDXozW7Oe9k3uSIrehh69FzsixSVz5wQbkOYOzukfTmBwdGCEoObFzd
2o7nDc+aYW3mKQ9PuAyo0oVEPnhFbZcdvvRj9+pg04EWBWeQwxyL8crE3cizR8U4vT1MDkYwhHCn
MfhVVGsa/Cw18SyM5fE+G5IPfjrVKImZElLHErZ0BZe8uOrDIDrSHkcATNAmMAea8mSjcuujQ1eX
9TGoU2OLJ1V0O1J25zs4PlmwrexOtMSAJ8qVz2wLcaVw9lZRx4/J4tfsJrD/V0qlt0cfpUKw8/Fu
u8aAZi/V1l7VZmhUbhvk4bXwlWkPetNt41YaR73nx1M0BaXbKr28ItNMXnWYTaSrpB3waOisbGVU
pum79VD316NQ51UojG8T/29l+PYuctSPQ1OQmjTCkCZOsTyOsqk2yMB/xxr0CR76dEvKIIJKXCY6
w02cwKDiDK313MY4/JUDG6kkrCcAl3Ht0Ob5NKfJOC4oI8hPFLk9BD/2eSbyRrOWceQsczhitqIt
yp+ZEEdtrk/9OJrNGt4LVBK3m4eSsgpXnbH3gqC/DSXiw9QykMsljD/G+45Ixi0EM0HSQW+s+jSN
snUl5fho6yBOb4I0NVOqmzG3k6dcmV7fhGl2a5Yjsw2tAOEgcxF5F9qn1I3TNtx1xJ4cv5OoWV0i
v2DvDsNYiaTn4JV0PdSCBwjmCB+iAvv4FNu5S9RQscYBMr3qh17u0nRAoVk49jpLA+NzoKzbqK8P
lBjBVSOs9Pidcg0WCRQ5/v5LUqISHm2n/TyIULspCMtJXPa57nMm22IDTSm+KxysSVwB3HFoIVoe
6kI31sLU62XhMK2LkK0Itf46kIq1z8zqtZXUg/Cpw89zETQCAY3m3BHHqWpr2DXjq6iwhvDg2jWT
a0wDw3nuPnwkakucSBlHZn+q3WSB4i7xU+HBzLkpizzaMIJoz4q3ebKD0aOka9Y9r+33srcJx96V
HZbB13eytxyi4BUkiPAnsjebaf9a+kTNfa99C8ifua/06gftG+u8/5Lrfbed2yH6av6pfXPSbNVO
y5P1nf4tx71vA5Ok4s5E8yrj0WMxbGyvifUCX0CzelDq5t7RHUKSS5CnNrOM7dhraENmbePXdLdv
ijhfHV4n7KlA3wusXcG9j7bQT2aunFVxfujnK8USsYc2XP9eFTcqun3oSnTNwZAb3ntpHETQymsj
Q1w5My4VlQPIm2X+sZw6yUKeGBtGSADP/ymNs9Uq+BrxinwvjctDcMPV5MjwLI0jRUq9U8YmZ0H9
QRoHNGrfwkDaKVqnvr5J5HioLZodJIt3vq/pB1JQpjXjPSKLFjcgp8yxBMKs4snoalp+U3eykNiR
0cxcfbaojJnvqEhdG017qkyFspmw8/EWNzVjjza1xCuPxKE+opND0xzkjFR6yp0qlnJXADY8RONE
16mgXVqV8FfwZyrLzZQ7lFeNWZSbuaDX1PFMPuJxbd/FrZMy16qSe7LUoxlMNMvvoTszv4tuJFaT
e4Z+lffzBl0AIH1va7vAhBppF5ZlGgCGhvku8rnS7VQRIo13MZ4ATxUkrae+timYUNd+LWmFMtdn
5fOyFCa+WzcdVvw61+8m12VyUBGa9Exmh3GPhUTx4edf7l+BBxh6qfgaEvgJMPPOBLyex7hp2yTa
tThatG6YBSb2xl1CG6E58e9WKZqXfKT71tlKINvFxn7UWur6rirhcY8i9AbG4TdNI+ROlLrzHBeE
YzFeztOPSaikK9Ps9IMGFXuv5Y5+mKFMHpQgMA4hj1rutrquI+uyx9vBZuq4BKf+/lZsvh3L6vlF
c46X3mjgrkZBYuReYI90C/GoOCylJA9ZjFtMff92j4u0Kjz4lXLHzNz6Gyvdd+DOGfFl/zVxpxbA
ie+uVqZSdKODDHf4tY23pcM1iENaETCWHhceTvJv0J3lA7+ze1kOCDBB060zmgame4ftmLUeA+eb
0c5PuL7EX8FyqErqHBbbckOgKsGiNYpQL7RG62+Mf/7FyeILrwEPmoBL8j0+qKCY7opl73u7/zlZ
GHTienqipSlOAz5I5xflvw3k/n8Qv2YqwFX9P8PX/yv9+lq34LZnNHyBvM9/csGtxZIffwGqxeI1
dUGmTfVXJiE6SCqW1RLCA5jgH8i0/avjMJNQNTy0SbDgjf43kGmQ0h+eQHyaTWt50Fm3xGJK/n6B
CDtbw8Mg0JjPkyLVU9VSwah4+3aqktqAD32nWYfAH43kUFp5F3wszRbZJI5jffOY5Zqd7yTxGPqS
jAALagwCk/KNwb4RQh231VR1F76/ddtUqjN7BHMMjI2mSfrfZDB0/kFNMek9qJDow42CqqFfh/qQ
hBuIQbb+hZTBOj7oUdiSdxsFkZV+Rp2o9Ec7V/yuPAy1GmKD4uFLjaqzvZeYBwAvraJqaQ3rpwp1
xmGwKniL4aTcUPO2SMycKL2iCWyuycQJE88PsicgcWuTObNJV9jN9jWyV3ZXvAFwSwOR67dtW6m0
CxIJFDvUtJph/4WVgm5Yb2vnSU569KGpk9ZguqnD8JjLMT6pUdAcUizDy1XZ4j/VhGQfY0ki91IP
mnt7mr/kIDv35WhjE0DA33pA6nKQESnTgHpZvp/9AToJgvfieRhDLCIafKQ9aD0KToN2AvrceS0M
0Q9wBjpk9VISnajX9oeC3K2t6X+K/ck6GEpBzdeaVngbostdt1jBkArmZAqeXqlZXY1xaG1UfZi/
0ajLTSYJpljhJ9fbm6oQzTb0JTPHWunWQIq1QSmeO16X2U+ZE9bHDB/1p8Bv2Gtbwog+Yr+8zCSF
BRNpzruZtEwhFNJcaqt200xrrqtWwaHQ7oFqSoHjUVQPa20iH5lUDUboGUKrqyXUZA3/Yrgh5TBY
NVhHa+uUnuYx8/0AGBNTgLHKmmdAjgbCSqVFh4n4vgcxDMkxyHpl7cxtjTfCcCMxP34mCC57cOJR
Am0ZEgkhqd5uZAEntHhMH9mB9CMU99EdDJuhJhln3wjKhX0FLipOKHMGcjMIyR4hU191uSo/KXPV
7LDbUdkCu+KrLyq8oVQlUT3o9OGJXVLbh6lMuU1te2yD6ITB0/0sZXvCGNl+1SmZ90XY1/7ezGfG
/kwOP7FfzC9T7VT3ZI6HX5GhCW2V5ZUJz2tqbkzDlhv8qhiT+/CjDjItw4Bkyg7/lNAO8n00ROFH
GAfUnCDC+0gHSvNSaAeqmzpF/lmAnWwEILCnaEN/O/SRtW1huwTgxWIJU8cQC5OgAfFXYWSr2Fhm
txB23FLP1WsCS3HqAsO9HtB/e3mMZk/Vs3pD1JrKfBt3ic4IPvF2+Se4FPEGIn16KPPxIaxiy43H
vDsxczZ3mghMV9FMoCwAP+3at6qB+s3M5DpqKXkVEeeg+U1xN4koBDeBB+4OeDW4hWMmaxtXRH2l
+Mx9F7IY7CU1XjNAAfWeMYFw42LCxSeMXmKSHD9lwQSDOe9DBN/QEdb0zfEeDl271wofMQNlRrEm
cFWndFXER59c12Y3UDsfUQ0Setq0focDQIbnc+CTM5yQju6EUq6VpFKrnbTmAWPULqlA6yxm/5m/
NINQF2iM8Su1kbX6w64FTmdl3BqkCZzGYZxcPACGa6cs7LVSNP43DHa7FdSxep3LkcJHE5lc9bg2
KOtItXPNFdJ3PM3veK+nTNXcRmmJaTeM8XNZz4FXmGK4UrRG36JDN7Nt2M3hB1FC3kyCINpBC2EN
U7L6hTkzD2rgdNcR2TUPiZFpn9rSsl9GhLPtCturIICvKiYsoGJ7LTMjPRgixACh7MQHJe0df03D
mrgtos01iwMMXkcbiUTGo6mIZvMDkmv1i6V0Rb9pmBgEqwqW4qppu/AmhXMN+bG2s+0I0Y7YnVo9
UJF1OD/leW6tVCzz11bHCisonDx/lsWdD5T0nAxiWKwFptug4R6rgRXuDNGVDlc8VvZ4d01Xsukm
DzVs9RB3bf1cK3mpwk0MxmNeReZewAH3oh5DRtAVY0DwAppCcLF2z6jG3tdW+VqK0HpUeiu6HYxp
CljqYXluxzCjs2nBPmjijQifHWfeiC4fboNRylWHJmtjWKV+Qx8ptwkR7Q8+uY4PNhxIvNgB41zi
IsZ9roClkLQ9ABG1ilOtsIj6CupuCFqoyrhSCn08JZZRA2alFWmQZoGFJuVaswvHNvMyNcH1i+Jb
ddu0oPieFOc+x5fo0Ed2+yEZpY8He2+EnzsFybwLe7rY6vgKWmunTrKNie37K49yT7Kj1qF4mxR5
04G7hAC0kX4Mh6nfgqDdtYJhMbCj7RwrWHsY0rW98Kq+djBinxTagLbWw86F4XzLw3oSKQFHZdcU
LY/OqBAF2eOoezWMmenxajePgQ0La2W2xMrHHYJ5wiXrwG1JiriGSMJfJZWm7udBsaZlyuHMTA/F
8KiNPSQ3THADMNg21OHezV3/iBB/uu3nRD/FaVIxTc9gMu97ETgTO3YAEF/gKbQaFyRUwlP9XcGa
gBhwXavdui2bA8zdwgsTnJNcLFvkFsbs/FRkCmI3XIEWhD0qslWHx92q74Ac3SbrMvL8ANDnBDyv
AAbyyqgRm2oM7GdG3sSMO6mBtFvpI4KiE+2hC/Xuc5T6dDVEGDMmoEyKNrjm1yDQRi9WSReUe0xv
ay4dFHTWsqp/iNNMfCZ/on6MncL0jCQobwK1Zb+bFSX90sa4uGJca+n31hitkeAWi7/yELlVlgf9
urf0rlxVRl7cAb+VTF5p2JN7QOTCLLcXYuFbYfvfVt3/QHv5/4jCYjBC+VkL4NZRGzXhP1YFEtev
0Q+9wPlv/+wFjIWpolLsMycWhkpn8UdroENiMTAaMOEbEPZi0g78lzoFCCBLN4tjqErkkfHvdAo/
douGbZh4kxKbZFm6BY/GeIdyDLExsltMzgMRk9bo4pFMla+b6EHB28oZVu0MN+ffIlssB7Voi+HM
kGvJVXkfmaRXBB5jvDo/AJJGOl6GpoYTEV8EeNukEnDNeqoev7s9/4JW8tcTtTCIZACBDy890fuU
JMy7HcwZx/GBcmOsu1WSV/KDwbwK24d+IKpC7UXWv/z8oD8yhJYTtU1NIruxTE5Uf58da8Nl1Mcu
GB5iHCwcbI91UgmloijZrh0THe/sQBFPupHm8dPPjyx+DPl7OzT3FAki/CSHm7zAW9/RSwKK8Qb5
Vf8wVrqWbMGr5FPWs1K78Dqm3dg6xg3ZTPN8zcqqBDujdIx0o5W+8loz/8ZpglgDEMlQDObm59/t
r7cCChMOTyq5qojJ7XdfbVKrUaObax5IZgFftHroHi1YGbPkve1juraNSeMwFfffPyyAmWGiCoQU
9t6Dtw1xEXf0tH5oqUC/SUNvYtb7IX6eoNBu8rEP/i+OCNOCdxQoZjEn5f3+/h5A0SUJkX3gIegq
+yoP/FRZW4WAvFw5dGreQBmX/M1ZvrNUXm48AMISUArVnVv/PoktIVUjtZWsfLB63069tioTQMo+
bikoZTPqj0Mp/YkEE2mNL5IYkuxDxI0wVkFnd/OX1sI1ipdxKnLa5CG2pie1HTT9Zq7VVMHCIhHJ
VYMhfroGVAuN49RXKsOIqmxjF3llZO3Ippitf/+Z4Y5okkQoFCYEDPx4KfOsRSYgy+KBuYh+Dw1f
e2BlNpiRgFWkLqw0sl9+/rz8mEH1diElyaYaSzRI8F8CoeCz02BEavGAzXodrkWnV5mHkF587Yir
vfr5wRaE6DvI8O1orBUQGcF1F9DmHUZpJw6FnyjSBwHnpV4FYprVw5wp+rCLqymdNibgSrVVmVY6
qx4WefZRx1Ilf63oVYvob85d/OXk4QEZ0AwtshmZ1r0305VNnUG/luFDXCJOeSwQ1Uq34W0pa3dW
bWjH2Fkq/WDB46bJPtUm9mx7EJbSWUGSnbAh7RFV/2/izmQ5bqTL0k8EM8Axb2NiBGcGJVLSBial
lJgBhwOO6enrA/9FFyPYjFZZmbVlWmZuUghMjuv3nvOdeK3azKqyTWkXwes0C945POqdviCKPG13
YRXgW0IrHKloSPfr5PGYwVOMtFrD5yHXSAVKWL4OA7LcZnergbJBlQUlqF6SIqDji042kIcKOYXY
fH4bzxZ8n0WXByZ0kBefhxHSDhZKTpP/bARVwoxijtll5JWs1tPo9NHKzAIBBwSRkXXhyIvg9f0D
xEiPB5VD01lkvnay2Li0ASfsSvEX9seLvcs3xm8NncrqurYbtPh1i6j9CymcDtwkujT5CtDpiMAo
j8p/cZ5U42Gua6WeuyZjoBEMldtshCMnYw1WzgWQO7q+xF0bjYy/S8LQ639nzFDeegjyXGzDJYR+
H6PjQqmyyJzWfPj6aIOJv4WuPDIEPrZ+ZfpfsL+Jr33RBtPPhuWpuh6wJiV8h9sOVJgSbZHvChnP
bbhiE2rPO9Iu2+5VNonRfh87GabfHQB6AMQIAtNrPH7WcJdJ0+8f9WDa0TJFMujArFNPmx3CKnDZ
46HLpJO2EEzKjqh2qCZp+Zi3/lgEUM0xJzw0jZnD9S7jrntgCav6tUy6rHjo0Ko5T10HB4tgEdBW
zT5WZdDsfbALTH4yxv87CJCwRiDVu9lziSlJrAb6pvbPCZgQnBWSweqY9pPZO+FKOFnZsmYFuohz
bCEAOdCw2XN4w91qi71OmzL7AViZTMHIWDiZfZHH/bUSTDaZHggHtyQbCwz9pgjL2zSc2KY3ja4s
ZwfXKExQg2jgXisyDgdHrkqyTsY7PLeFu/LDpraf/DZu9Aona2MdUqJrxc3Ezk8+ff42nBchEBZt
YVPjiUDwcJ5Ul77hOh5vQvQc01L0rkKd4wbyMoh1T4xmu4ln1a/6LcJPz0NtAMLrKgWoYMM9Jcnm
Hz2RQHVDE8mcXwfPB7L7+e97P6ZhzeXn8eyAk6IMQTh7suY2KSaXuENWWAuv737OlZUGm2rulfoj
0kiP6z60upxRftIhF6vwqV6Y1ZytsvwALlBgLhER9OxPfkCZpGYpUd49A3lDW5QNBt7SbuxSOBeh
Li6c7vk3JhRIajlbdiLLerAUZv+tJmzQvEhpusGzxgXZPwRFU7R0EHIbV4eZGuJR1QTTUaZqHYEo
zCp3bY22WzHBasziwhf9bKlcfozPnCrgHy4G7/c/xsYiS7mgg2dly4B4zcKbR/pcDY6PFf7oIN50
ydRrWoP0NaMvn9/5Dy6FDbzC48F0cbWTdvP+6JPfDSGWLfFcGl4cPmQ0Q4ptkVcB1DkNNtb4t1Zl
Oe2cfAiQN41TE9JCCJv0hawXZWwv/BzrdPEOyW/F6ku9jlb37M5oNMAMP6r5mZk6047GjiN7R/5a
llmwbIEQbmYzacZt0tuV99DosSq2oOl0vCspG5i1mr6VPH/+o86+qaHNR5Xnc9mcWnZweoNQ2UFC
ktMzdB+lj5E3Rfq27fC/Ae1mFTlgWvPSRYxrlBuK60JfJfVsX3pJz98RmvAmwbKMMrF1nE6yZq+b
g8kd++fKikaxbxw9f69KLAv3ve8Z1YVRsTjbnISu71M44yoRbE1OH4y0r6uASks/j3VsTviZ0Ntv
yITGeEerH2GP1EBEH6NoipA7VlNbfOkN4JtbH0VY9bUbLVFuq2Ke8msdzcWwHw3Vy204xPF8nZYI
yldNnSxiFAgBZvoo275x1wkMUPGH71llwbw2hm4fjsShv8RotO115Hnm9Azrx04uVA3ndV7o4uog
dIY8O17C0zpvUvDMcm9on3VQduY9klDvDz9m+CbTeMhnItwA16yxgfXBj2y06bgG1hhm18opfP9e
dxVucc8emBy5ICWaQ0aYuLvOpsqcL/zU88fR45UVy1SbzQ1F6fs3NgZSh/3NkNQnun+Npe1o2num
eEaC+b13Tfuxwa6Ddtv4xgzWPnz+MpzE6SzfCs+lf8CaxZYggO/w/vCdbKxQmoN8nhICHCcSOvFO
1j/GySge4pEd0FjBtRPKg4ttyf7AOEscTDDGYECj5NJu4fyl8FDGkYEhPFQgYXiykjuuGhmOqPY5
xFyI/DVIqp6+yeh0otm0liGbcj35Xpf/odie061nNZR9DrBu82rkkSrg4HURu1AqrGHyH1SBcW8l
ASm4d9rhob+w2J9/abluwCKXto9pkRL+/uoNaceeQOXyGQ2t9SddYCB3YL5dhm55MnoFs7Eh6YjO
UGP2J44qBpCf37/z19pnSeCx8X3iQc6ec3aKDDbHuHim29Hv+OREWK3dmvwUvAn3bYnH8/MDnt8h
HxdTyAK6hDDZp3eoL1LZm73kgFVvEUZCIsKfLIllfUz5+LQXCokPTm+BYtHfopYIUAa9v75ehHfJ
xaX1jENZbpEZl5iHrHlXynTeR8Cy939/dtjv2K2SvB7wJX1/POFTqSRyyp5BDsyvuvLy8Al+GfNS
GbId/fPXRyNRnu3xskTZZ32UoWJQmoYjrXensG4y5GLY71UCEwqasb60Jn5wLVn6RUhzleIQpNH7
c+vado4ZdKfPaTYk/gYqTtQ9zDbTjpVFK39YhgZZff35KX5QKgfAb2gSo92hA3Bam9kMDAOX0dOx
jd3SPaRoBH6D2GQkDCBAmQ8Ef3jDVwRMyUujlTms7Xg2fOw+SV3c5ow55H0WWKWJSUNj+v8f/Dqb
KmDZWvP36TWBAsZM3/D9owe5Bg2rhqeG2Jxx+7DRTWVPDzhY+nnX1olFSeA40r6d4MwPe1Hp5lFH
ZZff1i4lZbELImFceEDObxniS55EHB10Laih3t+yJufbMKo4QOJdZfa2IN23PPRl7cbfUvwc7RUW
5u7X59fk9AXHl8oOn2ENPbalhj85JsQY20i9NnnGIqkgkZiiZ78a9OhZosnIH//2aJwhTX8HV6tj
n+XI1fHsG8kggqMq67S8IcOrDn4MhJHOW1/kJS27z493Wp27guPRQWQULBCTne7cIPzAbdMcTzJW
fIF3MewMFjJ/40NFquFwWVGL4qMW9ubzA5/eyuXAXFKT06RlKk7fg9YiMKObLf/It0i+tnmKTL20
AEOHseX9MjV2wQtHPNsLLIeko2iyB2H15GzfPz0kDMDMnFP/CJnWT2+8Pug9DBl+QCAeeMzvU6n7
5r5ExfNiotXFf4r0498pKdEPf37yp59Jfomg/CcizkbWcHbV3WBKRGu6/jGQvbWbjXDctTS9FkiI
9eRIcp+ywR/XpIs4V58f+aOLgBF1+UTzNJ8Xggm5GSVRsv4RS1e3azqhHkor3lBVeDC1o/iAI6VZ
qL/NleN6zqYYx+HC/vSDs2fHtTQMeOh4qU4+KkiDirmBaXNsM7f9KcxK3DVz/s2PIn5QaTxYLCA8
efnf7kRdPNUs+B7qO7L52A2+v/8wLIBdQ8A/VsTLxbtmiOS4xYOQ4FGcXUPeRV0zYgN1hVH99bO3
+LmZwC3CVE79tO1LAc1eQ9rukXfLTgosCLp9Kdp2gvM/6VzueN8cDz5LbP9gEpO0GdN6S+LzZ9bo
XBoenK1ptjBpo7KMhgxJKHrfXwmsDaGjrcw6+l4fbVMt2y+qTuLrvnXU788fuA8OxfTH43ln5fbP
2pVxRqjqRC/8GHuqFXDVYriAxQKG/YGComlePj/c2bKytKGY+yyLC03S0/UMO+PsyA7D1AxTfcJ1
PAx6141zlMLBHOBOL+a3JLrwPp+toszdll4Lt4g3iybT++vZ0LSiSCynI+WNiJ/goIphzagBJ6hR
NuPdSBmPx30wI31hv3L2LnFkzpdtC9slH/7V+yNXnZgqyy/HI8hJhZYRQN3s7nu/IaYrN5BBb1pj
aObFKImlKZ9d+6KA/oNLvqwl9Fg4Ob7KJ69zNMt+SKGuHYkpL26tItUPU5EUzesAjmW+N4is/dMa
GADvBqgJL6YbpvKRVjMZS3mXee1qSZ35F05Vkm2apAvaJ6OBenmjqM9uPn86PngYPTYGLtNBFsGz
zV2ku2KIq8Y8enDbyn2YZ1Wzim3lycPkB4W3/dvD2fZSRXG80KXiO7kyQZP6i0RYH6n4EmvVogdy
VorQIHNjYhx1LjyF52fHewS8gY8pLxvL3PtngVZxSha87o+NN/Xd3gF/SnimI01nr9LGzi9czGWR
+D/id0SKbNO5WR6dI8df2jbvD2c5YTMahquPrVsZ3nYSXL8OZ+OlkeD5I05BRAGG9JqQLv+0P8Xk
u3bzyeH5aoOkvQJuCxaA6HF1W9ax92MsLDvbE5Iokz1tpUFcuIlvS8bpeUKpoFBB4c9O/OQVU10V
1wBy2mNAPW7f5C2mnzVAOoMUL3BmwQZ8doSFP2yJP5pQMfo7P0ldG/INIFpM6rjW107VhCij57wh
4m6aFNGBTVg1rxPKpu6KWRIqJOacibiuxlzWFNtO6V7oJnz0fHAlxTIuttllnZzIZHpx1kTEdgxl
4P5wM+H/rmQf/6v8oM8ufOPP64yl77rsUAX7VMZ1JwfTs5d6KHC749ga6XznJ5ZLSye2qmFvKQGs
MAmiLt40oaoy7JWZZCSQEFF63QWTlBc+v+frMz+GgAAHba3F5vJkfdZzWwKQsdpjVut8F9uW+gZY
10Ne3ESbYlDqJktH68LreL4uosfnfVxaWSyQpx8FGoqRF1ayPRIjEXSrOYgKHDKzHz8YKW4QK7fD
6MJV/+iVZJZLG5WWhEmF9f6VRAQ6WnUyKopqQ3XbPCmq4Mpp6klcONAHj5K3nBr11H8a++8PhMVb
toFV807M5fiS0sxfI3Ck2UkQzKWdwvmxUPFQrrNPX1pKp41hL5WVU7ahPBKN4tGp5GuBqc/2+4qC
tXOf/3bNdihL2ZTweVikFcsl/m+zk6xz+9b1rOooq3qKMAzYJeKDeeyi25Dgykt8mA9OzqYpSz2M
lIPO48maPY0WAQs0+4/o1uehWMlaCWNlW0mJ2YpYZ3Sqn5/f+avArh5bKY32pUw6HcdMLVP7BCbx
EfobjWB4Y7VzpfqgW+ajsZAopnomBTvDccvywhfDOh1/8KVwA8pOwcbng6WczgMfjUHlR1x1JXHQ
DjG4V1pIGTerKBuzjlnlBHMT5uGkt6nq7GdwqLZzxQDWyfAkZ7SD+gvv6Qe3gIkMKlLHZiRwVpqD
xjR1Pdb50RGSvQ4Y8zAjLzI3mElNxmAXl/Y/5wsDsx++JjQx7A/e0s5rzdR1suwoQAPu0OpFGcRN
r91ZFsHOZL/6mHP/+q4Hi7uRi8/oCZjryVPNTN9OMNwcMafJHavwHj9nvtP+IIm8jZrdwNT9UjPp
g/Ok+OG5XooR3uCTZzutwKQUjtcdY99XhH+WzZYAR+sKjwRBif2YP0DTKIwFkJjsjbEer/t6BCLT
j98jmB832Evtu96DzUdadrPGY2KoC2/DRz+R5Tk0aRgvopKT61JLy6ap1XfHsCMeBhlDCJhvFteD
JwfYmrN3ob3z1mN4X0wgbXrbI9hLT/+0aHJooQICGdpjNFQQh7Nmz6eDrHA8JN6TO4h8peJcEKoD
E2EjnSbGAiBy0F+d61/Vc65eyiiTMDPMwiam3ZTzNYrONN2EaTRt+f8nkJ658+onpEStScjO7kiB
zB/FYIYQKaJ++uuigjBbXLM4aCkszuyzcOsrdhy0u7XSTnBlK/DeEBVzgM+wmIzj58/x+bvKZIgN
Ly1bG9PbqfgFpU83AQaujvwSemGSBCJWy5EcDqa5pnlhc/XB0d52rpQylH00n9+/NWgrytGQXsVm
MslRvcV5fZuY/LXBKNYnf70OMYKlZKLHGAR+cHq0WGSh75TI9JKyj2jBRCHeMLoAxIus4raysks6
gbNqARpZwNyCnSOKNOZd70+vRO9AxoZpPBWtGMMNYlofAoqfU95+ftfO3jIORLOWJuOy/Finm9QR
/6oiZth46uduegRbWbBRiLOHspQOw/hguFR9fnhAcHissrxmZ7PkODPU7Cgvekprf7DWfdcO3Taa
0xRaDMvrtM5C0aYXzvLsaaFpa3mcHdosE/HpSZFpueQ1kaprPGW8Jbugi+Zn19HG75mvln9h3Tr7
inMsbpkTMh9FdXx66+YEtKZbFcZTOImw2cyyaaz9FGhYHSQvws3W1HwVQDUDYPdf38xF44MAjt+A
evBkyRSR2UHGbSPsJZ4m072JduQrQuuRcYJ7Y7iE8Vz+vHcrJoIdPpfsaRmb0Nc5eQltUyF9CEhc
9htiaLYlThO1iaXn5lelb/jPpQhg58+2kyVPdVc1f31XocdQsiAfsmh4ntaDsmcSoecofMoyt/G/
xINBleYZfb9jbNQUvz6/uOfPENU740sXTeZSwp9cXIKCganGZviUUGFbO4NoOpLATBymHWFpxaUv
9HLtTq4t8gdefQblvJyn19YjszqM7MZ/aqzOLNZpARh/5QIKy7aZabfePyQB+2KbolAjD55U2Uoc
orFuq7US9As3MhZGhq0UNc2FUvGDC7Fs19g+0lMLz4p+RZaFn9aBx7RRjbB+fNJAXExcha/97V9f
c7ZLwmMtdD7YqQptxOmUT/4TYxD8UhNNBXIBMt80hh1d+hTp4d8fkBKcjgISg/NHyrYGMrbIsnmq
RWPFK11XRrcO/am/Rv4Sfv38YOdLIXQChg0B41Q6NqfdEycyQRPCw3wqHaGvSE4L1yl11b4cOns/
xZ554cadr0wcjxEmW0Om8Aw33n9ULHB8ddqX3lOMVndN1p21xzqf/U6kVZMs2eHaS+ryf3CSjFKp
Mvl0fmA0gbDNrJZ81QGDYX8f4wz+pWyj/prA/boPqtH3LgziPzpNRI00mWkn0E45WZW6oa9zbqP7
VCZLSCLvipHfgV8qpzU9UuU/uGYCoCszOnypf39H2aig5aHJDbPk5ApXCrOjlUr3yYrRBxOhN6TT
3kIPnW5MOeLVTuSQ/20lxLDAY9dGo4/NG6iU93fVBpoGKIoStYAGue2HAedkGI739Yzh8PPT++jK
chQ+3KjkgA2dLIFF5ou5gAb45AZpegU8g+G3MhALaseqNkY1MIklQHn3+VHd85WQ5iJFrLOwQ86a
fAUc3rZ3lfukTDd9JjR88g8BZJpkS6KU9/r5wT56J9mOUXhhkEHgc1IpVESHTJ2Xu0+6T6ydXyfm
bh7d8VV2VbQmnvXSyXGjzk6PE1sWeIYwDEhO93/gwWc6kp37RIpA4ZFBOrTfaBR24pq5gMy2ZEoZ
yY0bZ20DJhP011Mc+fm0obBzl4g4k0sfmH457LKqNCbgbnOevFoZ4pA9Xuogfkrb3ITSnsWZ3nmI
jvWqTmEVrlxlMmUV8RCh/M6K1plxzWrRkY/oARMgVp3A1CBIQP9kYcurlCrlZfdpyih6mxVJ4G7Z
JVXiavK1Sr7ls1DOSgv01sm6Jc2l2RZRFKjgKp6mLCxXVYCBlZhNyxnFk/Cxnm7suXLUriTUwv1d
WbNRgRErgyg/aKaBYue1rWP89pui/4LbsvEUjH9sn6+MzYiN2DgBW8NfZUOGd7AFJOvP874Z0a4j
G6+YiqC2GtJhVRYDXZNsQNmyKiodOQ9WZ5jaWlulKtsvpvJw2izAee9It6OAGWTKSl7xjbPZ8meL
kCfAbNxGXosfRyOoN3VVPVjKtXat4XW3ZVD33zU6za1I1byy8Gg/DYU9/KuUGz5WA3qBFdHFkpi8
yQBZh8GvE1/TziTJAjFH86zSLPgj1eiK9dBY1XyMRxCwcJ+iSuyzXOUgtEQBPNS1jMnYKzdfdlne
AUpamX4rqXnGV7PXc/eCQr78UTl1F67GzieyQUqYhKA9pRXzsso2WZNjC9k3U9YPYodTd62ctExX
0PeANZAb5Db0f1P7DomklR7L0kJwmgr/UeAB3vfeoKhpxSAlD6kdwdGanfQpq2jNrHwVE1Oi07Lf
SzTLwbqMjHGv+lBNd4rcPtiRRs2Yr1RSQ7ocPWktauOMwsUtDXU9sS3PiTKtaiwRse7rLZBYP+C/
vSJagxOtDpJhW/rQ+M1sP2gn5b208KnfplYJiJTouwgMpVm6q9hv65uBGJUv2kpzc19H/mT+7pH0
pr8cLfvuWtShW24HRYz84nX3/BugjJF7zbgbo5UBl3A9ttlcfPF5iO2rwcmgIq5GnNHydgJ+DsGt
LolDI11W57edduuoXxHe2qf7mqIw2g1lZqlVFZNiv23SumtvM/Q53DuRfRnZ2r2GuRPbmJrnQvIx
JlYWCGA3rLE6Zw2WhApsh0qqEUO6JjRkXbiuJuYykbgYFoGdg106EyVzaRV5m6BOomffT/P1QJQU
BI/ZOrKOa2IDALBZK/Cb5T/tPOgEcfvYz9vMC6J7f7IK0n76sl3FZtCTWUHm1YgRP089kDD1HK3I
zkxe+6msv/SeLtNbRldzsyOXFwoJUcwa3m3cZ9ZV1Hjl9DSCJvbWKm56qAJlxTfYa6CNQDKocMRn
rC1jnUXPQ0af/1C0IWkLkZRiCxN7im6KxlLV1lOgbMsk0e1VZIPm23L0rF+rum++O53TVDv+iKna
GWEURVvBotesvaYbbpb1Ek12I8vbBWRN2EbPv3dZDwO2D7WbrfLeMXZ933dPrRmm1Y0zswsjJmTW
GbWBrPQ+dNMbfIjjISrTIdrCXIx/FF1ZAHntw6CG08wv3zdNrPCHt/AM2jZ0ntgHldFGtyaiZVvS
LN4QhOUg41feLB/nIe559mMRt0fLiQU5KkR3lBtcY1W79nPtiX3YMvX4A1BPkojjjY5am109U9j7
s2Fuk9rT9ddxEEypVgqCOFmwSWz1eGkAlosVcpZkuDK93IZTkbJJMNcpzUvU0Qxt8RSTmhAEe0FK
e7HN7LGbxJVLsOH4O0KLUa7LrE4LEjwGPeyGakyCK3e2IrHBA1D9/tvv6zLpCU1EPgjizjzAlTkw
HRhi5ymQQt6qEC/jyjIqcwc+GEvTWFcXyiOUkCcfWAp53BaoFgUHZFFaPvn/bWyAKaiMSarMHufA
kDB25vpJgqyQ4AaNKDpE2vvXZ7N0JxHTm4d+GIufyRsQwF3YABVA4Q1/svqK96AycWOkwS7JQ6N5
tgX9mSmwEhDVC4AgW1gEfQKVwFj4BEkcIJdcmAWlqGgeWznCimZhGiAesn6jXZO3g17gByUElLX7
hkSQb3gElmhvY0TW/Er+pndlRalDo6nI5aZd6ArWG2hhHtkRMk6Y/w07w9t0b0iGNuvDHyBBWNVi
1LZAG1zskkjGevsBBu78aMzwHZw31EP1hn0oHTqqW09Dg/DfwBBtw6hnPb1RIzRzTx7RBSsBzIE4
s7yJ0i/jgp0AtFrc4qpVYbxOFOjwKeCDBpvpDTQoACOw+MGO8EysfkA5PJFtHeUX18ZCwhjbyZRb
ifDkZ26YQP9R/c/qqn/DalSOOc+HeuFuhCNtbFyPC5JDQJ29LzDxF2vAWo29SsEuQ37SpnOr3iAf
ePp+xXoBf1hvEBBy2KhIlDUe2oUREr7hQipdFFy42HKvfDVND31Sqcc4VOoRKYd5y1c0u2HP7ZYr
mtILnOQ/oJK+zJC3J/5XEn3+hLHRWksn2L2p47Hf9fSCwrVY+Cf1QkIJqyC8l3NoN9t+waUgEIHf
VKfdoyyBqVCyKHGn3bz6YSwAlpatxNFayCz5G6QlH0vtYFiY3HWp5z6+AyRPjNcb6yV4475o/Dw/
kSti16fJcuzHyrpifwBnKOrDRZuovS05Q9bRXcgy3jC3hwLWDRFnb/iZsFZ1tx49FfzOh/ZnRg/i
qzG0X/Nk1nedw/zO5Gv420pakyUI2lUBRmhHAk9yTACHkNHQGcMtuG8IoGIogH8wa46+yS6PcMQt
NJ3hjaxjjCCB1gTZVHcx1KJ/cCwG23EB80wLosdJtX4ozOaXNwzxvrGjKFyV/yH7hP4orkmbBdFb
xACAZnQhzX70yfoL3xBBZuGGO3hQDzJwp3ClvcEghDyGLeQsmKGOTedBeB0AInuquoMdgL6cIlyF
W7aOvMgilsF2lkHWrmXr8Y2ODPGSMRggVrPC8eFYcbEdFyaS/YZHmhdSUrswk0Qz9ofajCEU+QtX
aRbObN11bg2efaEv5QuHKV2ITIU5PbR5L67pJhDEDiQHmtTCcrIWqpPn6paYnxps5MJ8clHqXCFl
mu+Ii5446lCt/TdMFGnS1lcDSccKG8pChWgygPgEX36NPH0nFuZUudCnyjcQFT+Mr+iAf5jYwQVa
BZodA6SxAK2GN7YVnUN3Vy/AK+iRdUqUM0As+Anzb7Ns7depdKKVfCNnZWPaHdzM8HHAzNnXNi9u
8szJXu2FvhWMaf7o1tW98cbmssckASjUle63MLOdW2vheQ1+EtKxWnhfrP3R97iZ7BuJU+ImW+Bg
8xsnrFqQYaOfu8/pghHzFqBYBllsNIPhVizEMU8n0xdU4CnR0g5AMltIm0cFh8fX7o1dJhaMWTZO
i5hsAZzZzjAsBHAR7to3AFo9AKMLgKJNhUdSqdO7P+MG3N16WiBqjqzhqZVvbDW9YNaSN+Ja49ko
ioXRfsMbHm7UG5+thTC+TRdom1rwbX27kNzwaUN1K1MAb9aCeuuiCujbgn8r30hweEGhwsnUyoab
fMHGDXM+71JowkfnDSwXw4zcaQFtzksCY10uFLpu4dGBqwNNVxR+SLpH2lcH741gly/jz1UuVPil
jcefMaw7eEROrDqCoRYoHjHHwaGqLbEQJ5v21lkoepnhhK+DFcUzQKAFtSd7lUHzD5KvPtQ8ufEW
QJ8P/u63LiJjb4DvM9zagcOcElywiRbS38iN5adA/yNttO1AAVYtWzGjODhEEmRoI9cg2gW83Ot5
ivJJ//+JD5WJGpI9b4H8bjj9eDTlkiEaV3YH26yxxjtv9HLtrKUDhpXxvskOK153bQF2bd0ihMWi
jE3N3iko8/8L2aIJZiD/2khFUm+d0hjnL7R4DbHpEYDLHRs3Ft7/pXxRVyK8Z/rmT4VgaZwVGSCr
/4V80ZosC1kRA1p0NbkqBgTK/1vWKArDicC9zMit/5eYURe5U74jazFtrsPeT0zqCYMK9d60i6qB
VSklOHy3C5rqrgxhqRfg8TBPrxTRbc5KRnnTrq0+ytL7WSc+USu9hlv2m36LRzRf7fYF30bPklqt
JhnFcMoQWfWHti/L7lpVapIbyiMczqDohCrWOAtktK7YGjL4pRhSAoen6bVfyNpNIOjJOn1MNKOe
nwVa+ZSxo6gaNmy2gH5u2R07Y0xc7pb43MJemYiNJgAIsNV3ZeaP5ovfDqLc24MQ1nbmFWvJ08F3
B9Q87JfNUp+bwxUbn8Cg7zWL6I4PopYvgcgjdu/KkV/qQYQPIwQ2TeZDOljHOkVLBYJTsaXcormy
kzv4YXQqptpMW1IL4wLeTt5RXK6o9OjXrYkvmUNSZlIBwi9vHbGxaBKU+0L743jlZK2ZvJgh2jD6
PW2K9KIBGsriFGa+XGF+rb+HJFHZ2ADZjQ13lt+28sa129Z4GUMpmrVLGu+EwaznY+sq7YZbcmbg
rrCBlQTbOKXvf53yJrRYfK3W3RYjLZOV2wMxS7ZZm/hNtiW6BSBdk7UOgxBKmbnedl6SZjf2ZCbF
VjQlZGO0h2q+t7O6Nn4Ln9yGm6YNTHVPlJ+nf3Z6GILbzKkAMGfR4rkuCLQhS9dOR7yVQT00382I
uIQ75vix+yiVcGG6WdYkDwvArL21EdPmdHG6IP5CuE3r/crdoUluk7ANmhudDwDsinxwhn9cBREe
/DgP7m7Uxux8gxdqv9AF8lNCXMychGAAHN6Vaoj9O+Z5mo63NIZsomgI+C23gP3h4HReUFXlaiAl
kwOHQeMAJhnn4AVvnTPvRBgrkp1C7h3jbxQk1s9gGNpXrLEk+GT9kjSirYSP9Yqva+qsRznY9SMi
P1tuu2TBoxZxXFTPXs/79j0K8nl8KZqo+erHhh5Q+9SxTDaBFxX5fVooLBqrRs0V4Tqh4ehv4F61
933AH51fR0hb9SFK7BAwLS7qEvQ/aYXO1g/zcNi4XLtmZ2PbsF5qrfMEkmPjEXKzchtbqEe+f2YI
UbNth38wRJb4u8wg88LvVq9F9qgnt+3leqT/hSwwjb1un6kEoMRKcC72FnZukBxSsxr1lZrtJP4G
WlY52za34nlrFJSDPa6gxjd+eTggvXXnDz17Foct+j9VRVLBajDpQ+4xX+juCwV3Nu1BlRT9H6GU
TK8Kqj6bB9DLqUAVQJj2WQwI+haArBB3s+lXf9ScUjqtBiVHdvB5WTasVqFchB0E2/GVmQ2loYoy
khBXlsS+sjIIRAe0TxtqTl9pC6XhdSPJtd1WpqHnbx4C+eyf0mndeJ+VVWcToAoY47kls8b6GdUE
C69yr8tKELb03NJdgzn6hQWfJUBMTk5LJ51UeZgmmQUEa1C1WjSOpPgV5bWZ7GMDLP2m12Q2r1B0
BPIhgwr5ncEFTybLZESzyZ06yudRzlpAzzOseDck4wyPsgerfiMwdlnf5sLv/a3jFHbxSOBCL1nu
jYBMV4aX5c70CLU8jESEplexXVdoOrvB7NZBFxPoNkRxQKOysqVIDyn741sQtVV93fYjCa7UoIQC
r3j7e07SSaaBbVsGRuw26gRes5Xs3V4+FNng6etqYvAerxTsUsqPeeKoNmwk52BP8IwfQ512xsEo
2US8MDjsuj1ij6HdJkHV/RFhGoIvlKzVm5nY53JNfAz4H2ZHTj181f40FHcpC5qxtb3SU1dD7NGF
W3wj2C8JJVOrzpRDuybjXhIDJ0n3JA3LmDpji9iz9Q4C6q+AvJ8H5ToflTFsRmIS3Acth3C8ykiI
634yz528+zGi93YXidn11zj22vZfNmdkZblTnehDQQasXnvhNH3pu4qkgoYVodjVBXO1TTAFKtoQ
h+LkzywttvkgxKDnLQEHsXWLYRG68ipIGxn+w4tO3CprUdfdq77s7V2VAunYl10S/zPTU/PWOomb
7tayi3RcTTYut6+u3/mEno5MTeKN91/snUdy5Ey2pbfyNoAywKGnQOig1uTEjZlMQkt3yNX3F8lq
66qytn6Dnr5BpeXPYpIIwOF+77lHYAXTbk3dOrgiL4z/32tMa7B3HUKHVmeQxbrP/YYqHu/PND0U
2YJzDc6Y0j6Ya9/5W41JtUMcE0QoDFL8oWrvhsGjbYnpli7/7WOp4jY0mhsonq3Y1+B9VczqtcjC
QDrtHcCE7fQhZ+5m0EMJ5eyNhPR1ygF/AUHLkgDdhWAmR2Db3JAvH4lm7vS113YvhM4RJ7Q66j4b
FmjsUYt59HjMMbTRTyJL8nsC4d30oZAWvVVUIemWH16Vh8meQUay0MaCpGH5aHbjGqVdk4M9Zhnh
S5iHdHpXNQsRKGOYEw8ILUp2W0IMSG64+MYSAoUSZp4jMt7YAUFHHMjXnc8uvs00HjHfTeWFqngA
HgvbN4ruxas22nAnXqSTBbyc+PFkZuSzPNaFn7qs/MniyP/ncPF/vCf/2/hU2NP/gmz+3+JTv5uh
/io/66//uvzv6vNX//nV9P/qSM847/JT/mlD6Yp/IMJBCASdHQ6SHULB/d9Rqv4/4Cch2QCfhE0N
R+lfbSjh9Hqwz7CU8y6Evv9jWO/9A7kciIR7mcVC8fv/ilI18ea6EFDh7l24S/85h6wXBltDs7rH
ZbSGIM7TkoARxfufbqS89Oq9dq2nyVD98t+QLsJ/A2hhoQqXcStUF+4OH+M/JW/pOsKNXxgIYF1Q
W0duR9/sGQJAGFpSfM9hsoJh+0lruLHiffmeFHGv0b88vrsfZs2/Zp4i1bf/4zrwWoOzBaco5Cda
kCb/HSgumy7ow9a19mCqBLcV+cifjewTf1Pzz+4xpYVS8zcSTowjQYENVGlJKBses5FhF0gj+zB0
se4jIPBgzk5+26bVUlAva4tdVAYzeZXwoNiNqrLwp9O42MHDakPHjdLC9QekF5SKhDsBr5XywZqt
6bdtWO27YM/DD0h0BFgwtNNfs43IPK5Meo9N4qb82ZqItXYNaRM8tgTFEVjiQJQlQXnk/OUgwtmN
RajqKyk3SXkgNRd73yrUwRFLkSrJYE5J66kcMlOdU7KYWgoU2rFdWGaFe1rDdBhepGdw7X1d8j2r
AXZ0zMhK7bdKg6ofi3HJqi98csWOHDlnvHOmzrNiD6zRigekkufwMvqr459fQiogn8acQkd/Jk2u
v9A+jsUr+aAS/xOP+X4NcewXJO8hiUeSNn85WO3OpNRMpNpNjqG+hpy54Va5OcE8xJK2QUwxFhB1
SqVQBA5JvC4bvNiQkeeXseUR6om/n3jSENb6rckZ354ulIpqh755JH5MlA7u35jgENHdp2rjzSlh
LCEoR6RDLzHPY1us3kZJt3M3LcEqDwFUIg4ohy4kMjOxNEcL/ArDL02IdlTmhWq3ZVhUvEXT1L4P
nF44ui7O1O8K4tKzc9p1IUr9oLlkv2AgfGXh8mg9QJER3n5y86CMBiUAYPKpvPIlw8WYOPjcAUVb
ltefJ525fTeSedwxYOPkbUkH+/t7AnJhvb1kRqTuEiSC9qlhkkDKZ0unEa00Re1DMXVyItm0CWvA
4zBIYsaXrFP2MV+es1CzASjZ29OtDcG32IYa1l2EELgHWXAkCbcuFUS6cY3SLrCKahvqzCIJ6/Rp
qbKKbxrH7tXS2O9sU+TUcgecOy6ksRXGAmysw7ehdGo/WjJy0Lc/O44uDJaVYRW+vTXndJ6v7MFd
itdhUlyOsfqevR3QZlRxgJCxOTaZxW7V+Aupd3YT8DrUOiSEUg3WGhKjByHVjpNg5FuJulT14+Kr
Tu1nLxzlzjdMtrdmrMz21I2lNz5knWgHaA2e/xu2WEEoBLZ4XRcR8lDl9W7ggTZXWHam/hXW/7jz
6MnX/X3e+Yl8DSVEnOegZ/C0mwn/a2lXMlaEGzTeRJ5jZbUd6R+F55Emz+gD3FHITuDobxv1yVPl
esmAWLD81WZO3xFCLyh2kGCm4nUJMd05EI+QhjTEbUDunNNyS0uRDFNcMJR9SvOEnSHBla6K3aVO
8Lsn5gl2rTb9NsYmMFEbGBZB/cQj6WlaA/Sp9xojCXHQaxmKszYl8AuRV/zaKui5pby03GoKbXGp
0BH9fC6aVfvUtYYyHv++vOWqk84EVXS1uIVjzooY8IDvosGce3tveXMYol8x1ZU18+TjhQ3NJnxu
6D7tzE/CrVgrYOuZQAL7Q5Ykk0Fg7Z1ku9og+xtXaR4w/PmiepJ5MtvU+FLMe8VoVH8G3iUwslgx
DzK3GdKhJoJZNjjXpSO0c52P1J5vrU14RB45WCyu56BIIbT4uH03VJRV6ByXIGBFVGtR9RsxlGw0
DkmvoxvxxvN/UHLrr4J9fAqjvsJ1455pyuU1cUqWTYYPWE6NWLvjudM6bKORQ0+d7REHGvwJe3Z4
3c9Svo6EKcqz2RehPKu/q5wxI/9WZi03mghnFqSpR+gMfL2/A3cmK+XnWWDO0r4DP3Hm5D1EgKgo
U/2FIcvlAnB+8YhDwXoR73qoCSl+KZX+CgyYh1j/yxbIg2U77+qi0V94Ia7qBl4Z22feJxwQqXLk
i8+gtLx0d0W+SZzRVkew6GqM1w69WUT1ygcWqK+K3cWaAZFKrkMJ12jk61Ylpvbw8wp2I6mQNH28
gRAfjItpSqe/kvESL+b3FevTx830ikZQfVWtrYZoVLIELUKqJ0gx7rhmFy5SeDspi589YFvYb5Zk
sC64ns0j7TIK9e04GLy5iGTk9JzZmu+sHJHNO5yluTF4to6nkYXXk6JAEiwZpq7ZxmYqsZ1HrNu+
U8ezzTQqaN/buuQuyDLj4n5OGHoafnjdrvprGC9pxJM/mOxwJM5Xb63BUOl+oHsUt9aA8eqH78NF
OUxrOifnNquhJ2FPcdnr0VKiLZ4VcmRSFFar+2XVtrLS2E9zzh+3VuJJWnLBm9Q207WJm8Jc+q2G
slPsoPdxEZ1p+inzIjwssei8hGOSZss9guaztqeFHp7jBa5C96sEOiVH0Cmn7gVWPY/XFSt3fbnM
AYlu7yTgUNm27oGOZJC7VVIUHfN87utHBnuCOW4a5OLpstORt2J4ueeQ2cXt1DLnXmGgI9qT6kYL
7jH+EcnGSAIj3HkO3dnuUp2xAf8NxJ6ThhuaoG9gdiQCrrMhqR6EHSSU3dBfFkOsAPGl/nL8lHPz
511Zncutq1zdufshnPAG7wu1qnMzZbyYWH/ysWuQEOgyf5dJM8+8T4VLADRjYhNOdlpNvHM2xiik
WAQLS8aiTS12JBDzk7ULQhbhMMlN/LsImSZyzYQAmZwNsuMNM+F4bEpmh+JS4bE1dG6frVNUVHWO
4MnGxPHWGi9cC8fGWO7UQtYpdvmE8dxmtkoWUNgE6isJ6r7485OOPHmFdI7/zFP+W0ShwGW5piBY
73gch8RKZwyAdy7ja4JzyG+lokstp7guBVVbJPVo2E+CGo39/LIkIe0YbA/25dtriNi8epdl3Fcs
a+9vndjbBRkLi2Nxeg4TKZLPdl/yyEcIhVkUuGS1HkIjTdTW9eaSh63ngHXkwEoHAdKYYWx/tjg1
ewP9sg+zNXKT2R+juZdM5gK/5mGUeO06R8GkuD2V8rLpWiCu4rZz5di9TKXRMvRL2EExm2ApYPZ4
uQZXs8+1Iq2ye9eqHGsL8OV0JzxQKBOKoeBX/VwhakueNS5Ml+XuJaPx6HkNq4VJ7jpfZWS/lF91
khntoeB2i/dxSabhE1/kfLrCYtVenNhrV5t0xxYVa/SzwaahAU21dazKOoTmWMNgVz3YChGLJGYc
K99JvTfHwPKFxLxL0UBqhG1e6yQf9fbnKbqrbUMrgux7Z/Avs91PzF45ezmZ9ODXaTQQWHvvFk7q
Yq2ZsaP7GaLfqLPWJNskKmMDy31dsCZNeXmBTTF0RG0kzrOcBnHCfba0P/9m2jel78kz1XfaYUQz
FiElReU/YwySD3FvOnW176F7XI3UvCx03xLIfcEWiABuiKI+lPi8PYvCt3DPTaBtIribed1F3sZO
K1f8D6q6mDcJCUrsfhCrvb2yHbZ5x4IydPaskgQRx1U8FbMe5uIVL+he7c266OePNTF1TZ4nkxS8
6gfexpbYjBEW2cpn/jmvsF0vL2m5MytvpbqUlFt5qs8B/pH9XgUjqyFwVtehmFw6vXW1k/kRhlyz
HZGDbEi2og5iHGesl3NdCHKZXs+Jp6z3nzcJUF9/Lf6K3x66Cd7Hgng2b28qiEGnlDjgYLP6FiC2
o3iMEV1V4FFsCYTeLDyKsH8e4U6ayqgkVCv5VYh2BrHXEx9VqELWO9tp7acaWYYba1w/5hiuzBic
22IuD9rs+jROM8mHpr7igw6tV6Tx4PYFlFo4SJxXZntZzK5ZUUvihu+fG5iLd9mkubOjeUmq1y2h
F3HA9dJFVZ28Iw+Y6cjfZM+mo6Q6zuhzyYTDFguga61Lmkb0aQWbvu++MLWi8jJsduLYmGDBRT/l
MDPhiTPVXigof36db/acepniAJttcqZ3aGypUlxl8X66rkGF/TdP3p0z9hzRwpq+p0PmyzBBL3f2
bwKpEjW7JztD4EcJfNnwMK5Ejx4At/kwgcs5gWFzczmHJnrWuFOSZZJiNio/wgHGigVERizyvu3x
dYo1aUcGo4JEddedyglKwvM5rYgkshHgRCX0T2DfdpxkjMsMlw49iU9KTH3q7gm+p3pxx9loIn8O
5mdi5bI9bDP2JMkgjNBm8NblhueBj6uvRrFPsNXObqHgdJcY7I5vKXtFXeCtvPraM5Y0cgngHSNn
QGEYLfnl83guScSvdj7TZqxCY0bdaI5O6pZaG4/F0PfkwZSmeAPpGde4Rdl8rUKigE6229JT5Z3N
dmiS3PueiQ6Y1oAEnjKqVOwIaAH51fBLeXTFknTvlnfp32ePqo3F0mRXYi5m/6zHMbRiQu+C5Fqt
WT7vxly0783fw9UdAXN2WBtzBHYzA0USv8asPlhh4j21vlrT3VoTK7FZIF/prV56Hm6WuvPdT+VC
PYdLjtB54+3UIumIDDChZsOwsGz3aaFZxe46UpMNNET0lqCg6vzT+MjJ4OWfgnqZr4wpZcv/OXIt
rrvfNAwz21PlYkOzKbyePzHV0M5jAJ98fA4JWOq3ZdJQYyBLvLxJfyu0n7/D7KReSopwIDrYNBZ2
fhhr/DKA3dG5DsOSWiXH9qPfzpmxZKA2Zk6snWkYzj5jrCdgK3csS+/vIZsOjLU2/EhOQBBkXvIK
vb+ktIVYvHMGdJDb0s7L8XmRi7fAxAIgppAK+HoIc0O+krwGNFNj/f07MBhYxF7Vs2O0jXAItruc
xD48fPr6NZj1FxbL0n7SHOR4JDQde+zgZeHVTw3p+g6pf+1aTf62YJm4ESEE6W/TT3Rwanqd7Qey
VZyjWVwQmBTn1/GB1Cz+Prc5JlRkzBLBPf3t+nHYGdpD3WPUH2tpUPMPq4nHt+ytYLlOR9sZH1on
p7n3SkvFGS6Gf2Ru0D8I7JnGqJ2Bb4C1Wp4X4bSBvVUTjMUNw2o+emtVSQO/zs7kBnm4AxQj89q/
wrm0UdGYjWKnSqoggIgkP9Z9VRJd1wG9HHwkPzPLN7f1xlEhUdiweQnAg0rSXQSD6gbJIjRewtzp
mdaprrdQbwMVOYtB1SrB7HazLu0Ds7b2pRIjVHoDp4SrykmyG9uvayPmaMHSPqNUY9KxMq5gZrB8
DcNqxbNmGqa6tVabkkWKkZv29VWKwriOgBYtosdK972zfX3N4XAeURAQTy77+XOaLBP3NbMimdkc
SBXLpjU5BWQw7IvKqk+1gnDrDXDdNhTQ6Q0oTfU5Wnb3zQkVxtLyxcnG8yHui4RzXnQrw0R7RezR
yoD0zJxNAiO+/JJuDhVb8fNiWeIIX1hpxnAf7wUrqYLHsE7Us2MswxmP+34XwJLgSPE7aq3CpvdW
/nIFOyr8dBg/4qal4af7mRbltlYQCKOGEA0fEMNnbyHiL8NcgiTPGHwGgZRM6rPoGI5HNjy19cmy
5+ZsLqLrj52QCKZQlrUbbSnn4BsW0YIykwxWB9qaa6Rr6jFnKzoRgJYWFBV1fmWM6oHE68I7ZB5N
qZCVwGSlC6bP1dHy2DO32CqEA+I4JOPEEUc8IBIbiAfk42Tp1wVImsn2JmLNvcRMX2wIotoc0is7
7PPYSTN8AUTT2OxuKvfPCIvdPZPoTkdm30eYhDduRAms7sQYzmfgF4g/ZZul1zoXgRG5OOCefJt3
YBvMBB0MffDmG4XxDlyr+h3bkjC2aBTsfVOMMDJsO3nm7R8gjxHBwvnTlfZVAXLzAIBb3xJh2d+K
Ss3pPiERiCN/ZArLaCcLNxdUge1uKW7Q0NuXYMypOo+VH74VmOG+JCox30THgO6E7xVjO3AB4v8K
aT4iR8f2sQvK4SoP8I3bFeyU045W3sYUsAva8yC7jl3Amh/LZS7e0O5k8Lc92Zts/f1yw9G43FvC
uJAI2j6/Y2w0oXZByuQBMUiL2FOjHb6zsRd75LqQAxazDCOl++EZl3NN2Tr59RcKM1CzPPuAPoVi
J8tx0W4XLT4zGM/XsglX4IDW8T4nYFeIPxJ5y75nhZ4sBvcvqTDVHxf6InxZIU+rXp77YQzASZPR
8Qkp1YzkwaDwu0/hQJ81rcrHMNbJsoHxZ92DLDN0dIlpymJEuBKdUeiQA7dWh7GrsKaAE42XE9BO
UW9zIK1PUpiHo10tjOUI/FHbJkFxHtd+Yj+lGWSC7ZjD51cqaUzmi07z0WKIuLFtmMkRnUpvRc40
vuOV0vyBgOpfKuywPGFEO7ypPq1uYNfW12ad2F8eeixUGnk/PU0DG5i1rki7ISg3ClsUEjiRI+Xp
fN843m8n7yZyfCq4AmFF5bqz6ZWOSF4IySDxq+33nCPdg1C1c65Cv7wP8yp5QRlv0Q1rvOTQHV9z
Jqg7KiV5U/aWvjPguZTol1LxAlnaopS1MjHug3qaDpO95N85BLPHPOj9OKgGlzXbTDC+bcL5iLKZ
z3JqL41Bx28hGQJCRwRpzvpkSkQ/2w1vqbE0S9wY5fTR5nMabiExrM8COKuHB1UxVJ6ZnFQRBHmS
Z2pDXQVkGWwbu2+PCeQHWh5akuogfeqSbUXpDdtHWOGd7RfjY5YxEMc0bO73PKB1XzUriDB0rvuS
8+IJ8RuVNBq0j6ojYggQaiE7ueoJA4yglwD8GwZhLy7YWhPVTB3WOMNQ5jaw1RovBj6+q2zK3UIU
IYQYPh6hkZnx5g3FaTW96lSWwcxp1OdVtCJ7fLLQ8Jw9AhmeVmcJrlsjaSCXtzaUz8DPHrKkDZ/o
7N0//exl+zo0Z7BEmf8aJFUnLIsHFuD4zXCmjNTo10Wcu2o9O3NdP+Wzk35mhqPLU1E57KAh70oe
5YZX3SjK9AiGTrebiWmF0xuKuMeQeYi6CeOOrSLuEz6f4fwWvcmkoWQMMFcSMVYZsqOZuVl9u9RB
X4U7N++2MS0LjBnPU5vMGkUWe2tB3okdVtNCxu7Q3PokqsAnaJplfqgvTK1RD+UT/U2/z4mjizA4
mogRJn/l0YIxcG8mhnxBHUcSoif0utdEKKO7QTs8RolXIa3zCCtLorxguk+V1I4fUhXEn7aFyexQ
mvnN1AT9C3E15Cn5jLo5aKb5RY4meeh4rMBND9M1tyPPClb4DrDKcRVatAIJFb3mu/HPurfyoLsZ
F1XcwgQ8LbTozt4kRSLbrEq4v4w2p0gAwbCsg3O5pcz7kANis1GH0cqq/NKl8rMd48+l3daysr4T
00r/FGWr091SEJNKXzUlBOpg8pL1wrpTpd0fmlZap3lIy4fBsdGHAI7e+YC01z2CnbPg1Tybpahg
AHdL/R3oSu1wC8iuMwZgR2QLxm0/yfkNZMW9TpnzQ92BivMGR94NIoaG/TkThUU4PUDJM4CBPNjk
Db85I4oUabuduqUtaEHLVrVxCYC6kWNfm+DXMn9ZsfJxT4Wl203o1/l5tEd7jVF222/K9vwBstyi
HiZY9+fB0ZBxcxJi1cqqPTjwKecHcqWWjduMSw+hyA22jJeEOnt05nASzWTsOUgG/zYghAuMyJeb
0E7QJtJjXqYZipDsZgBGb0SvTl42TQ9LzyAsJgH6E+I4zK/QzMPI8XOz2ItmXZ8DJCm3ht3s+mDw
N2rFsL+u8v4W1ABk0xX6gL9kdYM6BL7fOjNHk0bvbpO0hidLXmEemchBEX4s1o1f6u5cjA1nkx72
TTV7IIO6+fbyIn0aMqe8ypp2wda+lV9+lqt6ayeF96iTVHqxtS76FW6Vdd26frXNQZOvDamNh1A0
Ju96N+06goK2aE493L5rd9cyZDvbMqv3FwK4keg5O3SG2Uf49/nkDMzGcaK93OmZ+pGwUtBg6qnV
/20PU7ir8XKaN8SYIcBKyAC482uH4yZBlW8R38ywPS6rJRw3PJgRiVcPFQ6+SttFBPSNT36jiON1
EQrEbuL0+0JYoOI+I3JvsoObgFKoOOS+Sg9sxb23SWjF/xTEH33jY0ydTqwA5C9EiOSJy3uUq16U
hpPcISJtNMhLqe9ynEWO+JH6AW91FkKKLH0DTYblnMipwyvPSiU9Q5e0xZvRrhh/IYURceOaTgmQ
kvSHVKwwZl0UmseUjjpC6dI9Z1JQdCToqfMNlisIGVWJ5skmEOo6hJx9zCtmDnFD7sArwQnymiTK
cld2/g2ulZ4bmVUlXn27nJ80+s5ihw1EjfAiXyc6dnMg957DrrliCFdu7LZ66wzfOWC0st6OIlDv
nfKWI70FXWUol13Lw4omEkU+ltGsv6fanjfZkBH51lje2bGUuW+NiTAgQAmytXSSEK6N4ue5oK5G
9miX9u3M7OulM53hCpFHfwN/LuM9EfWcb1SW6O56hpD23ojE/A1zVVsx+76HHBflD8lgdGA90pQH
J6Ekj8fE6vctINj4kM4uesFAEVEyCNTXU9U+92Pxy+c1yJ9NZg9NHmWeJXd50Xl8V2mBUWQTxcsG
e7zkEfOKlMCDUB9X5cFIQEIrkYP2tJ03BRf5sFhN/8dX1t6fHGwfrHphLAsneD9AZL6pCCWMmgDt
IwKY0OTaLNM4KEUCVCxNiUny2E5Hr2g17Dix+HuT2ucZG0P/glat7d4ZDXZyk3QjvMmn+kKSMOo0
tvtMMuD32jkuoIRvlyqFfpur1nztxx4Ep3eM33AUPf2+eAhV6soZdcym53UbJAk4kXnCf/DXUrxM
Rll8osgrlyi0hn5n5sZEtlqSXyMKU/HEUT4fKRuOM5HMyV3TdcbvtvNy/5aMhuC1LLR1U4YkN9+4
fes4Gy18NrZpnexjQzroLuHIAN8b7J65Lm4Hw9al6rnjDMk+FEzL2AfVOZptZxy5++quGYeqYRqx
5r8ZElrNLhcZ0iMiR4oNI7Pc2JBy5d8U0phe7S6Rn/5chB57OVDNDdTG7hW/bz/bMC6jcG7n6jbF
NvWzWxcO0m7J/T/BQAIcjBF95C/Fdz13EMsw7IXrTU7oY+1fcEZBNPY13uWlGZdJO+7Ru9ZbhvLZ
ZQDcM1+3fFP7uDx3yz7P8oIIb4vEL9CD6w758Z1y04W0stK7Zciu/Mid5FsQGMF72NgQBGAYjoKq
ux1+lSbakY2gjvtiB3KIo7HS3w1hV9ZGdn2+X1Gk/YKNkt3gdYypJ/M92PwFhYJOMljfiZc2G3OB
NrAZw7b+XHO3f/cmkADY4OKmFtq7L1h9u7Qri/uEfT1G0mQNO4tXJpauaA9OIucT/VDIMBieQtwF
ZpkwMBbyycCIBO9ECk96XF/elUs1Hk0kLGdzVeoIdudEIfj1izMu1nR5DBk1QDi8lRcuKXHX2Rap
wXhksa5v69hNvyTT0wcpWx8Ft26qbTa6aJia2pp2nLrqEYZnn0bB6Ot3twqzP/Ccum+Jez/T4ZlU
+Ir0iK+1S3SMC6D4leJy+RDko8NvS/FDMFoLYwOwSnTgYnKTG2tAAN6vOeim0TePaOPG584Ng3uG
ftkj+++zBjJLADgMcTloxE1jyp5QDOzSMUp3522upzdjKHF68CYrpAQszTNlcvNMDmSzQU4v3I1q
VOltZmVKO2KCtziRsNJG4B/hnRTaVS8ioSlE8xdyJ2dO8GYzYUb5S9jTM7y39LeDNRvi3cwYD6Fj
sEk7DoofFwnhLls05VRRlenZg/+/c0W6RwhWHkA2qjhJG1XEfh9WzA29cTl7YtRizyilBUWRvaBe
K+4miAoFPhKpfgvrsHrCWXVuOB6bQmDrO/peHJbLZ9lgxXnlCUCmIfGlw4FmeN3OGfkUOfOda8eE
z7vpkqq8z8tOQyx1LmpuSMVY+2EV1z5K23cumsDlXSH1PFTwJ/oN2SpipmL09Y3q+uWYldn0bPha
c8gjLfxdW+mnPyAvJ8Y3QOqKnXRyb3buetMJaKbDEuIJuLQKmAFu1AbY4RnBIRGBRRUc/FqwKlzo
zXHqpWYAJANTdZNMob9Z1nY4I/ALf8vMmO9LMMyroJNzfQb/gFjvr8vc7MsZ+wdIZLP65QZrGDtL
h3sbJdWF9d06N8jX7G/PwjQ0mpZQ/u65r3cp9OzbnFS7D4XOZWOwMaO10QkBQC6BktHKkO2X42Te
O6MBv4jyrsxwgyOdCoE7fXI8p7lCZWqJ56Q152rbjXSI9TRUZ6avkh4F47/IndPhhSZIXQltHLKB
Oq7EMTnCPkFfJaExxOU0qt9VsgZ7jA1QZZjj/Aj3QzwH62DfL0XwC+Nec0MuYPOthuGGSVETA9BK
FbluepcDZVToakrjeiFPmNNK4m7myq+Lvj125GDHnd0mT8zaqw+kT+sfHKjDBytpwrgzdXpcJF30
runY44LwZebQeLN72PM3xZoDm4m1ucPhJNkRr/BU1OFyMpJW7/ECLXNsOHp8HCti5++GMHdgjWO1
fIJGnbADKBs3Elwwxs3k2AkZnz0SzGEa/bdxXN2PNejxIJAIiTfkgcqrGt7ac+eIBdS9hyJBAmhk
OkZxD16WXI1uan+R7UkLSG26blYSAR+GyXOP5mQEsePV3mshzPEkgpqIOmo2dZupziGJBia1O6VP
livDN6oexlRzVm/DwXKu2L+ZbbcmFO2ivkkAQ4kKHVrQjWpyqT6X0MsOMD/GU7HacEOyRX3A0JAn
ZdZWu5kbMTNTtubgw05cTLhkkbiAapZNn8SIJIaTlu0gPpe7wWq1iEdPFCh8ff+6HAcir0ZVqO3a
N+raXbPuqVPQGgHWrguP474tDf1KVNK7pUR64yWIBMB1WtrdUQx0snPL4PRiKlLvoKtkxSbkJjzV
xDtHGAAkMeYlqIuXro/XMMzv7WRattKHsIlXhFW+tqHPR2wNaV6TpsERTQJBGaNjVx4wqehuEJXi
ajF10LNkm/RXQRL6EKEq/D/0tEzHmuDVLJZEZI7gYmNUWVWYouD10ndiDIwvrK7G1wZYie4uGJrr
eaqKGEeYbrcEQHXkg2r7jyMK6mOxJu5mqsbhNOjMYXxQYjeWlpm7rZEtfuTd4OzDsSyv13Ih4Q+a
TT3uHcbcu3EuC2rceuLVI6Kd0TCjt1R53SGYu+Y2GDX+xJPFxM1Es+kwSsKsIkbsNb9UFn4dDAkE
qeJpYJ9H5Fp9lE9NihlN5V1P1ONnATPjPvcy53FMWxrJ3iqLR9zneqA6AJdzgVj4DuGQKA6w9Yeb
tUvFs+XYBpdaZ+fZNJo6Vhp1SuV6awrRrc1fgSvYpatc3rI/myxWsKgCQfq59SbjXZldfjKhC7RR
Ok3+kUVZ7EfVqSYy/VAfWmUOB5ksSewEs8mqbU1qc/XlYH5XUxukWYy/4nRIEHdyVgX9AgiU2xaY
ASqJKspbc922RiufKqu3vnMAw82AoOqqBRneOH1nH5ywne7MzMTipq5oJ0I3bUHZ+5NGk4gg2x3U
DkCxLLdFk3V4CiFm/uoVjF3oZO3R6/UbwTX2BjZrpmNNNg9EXTk6B5JTrHS7eqgkqITtnl0ilQRK
e9q6D0axfjdGK/5UMFQ/BkM43w1GLjHb9epetWa/QjEKPRmn4bDcrvgWPIpl9sGq60vPk4YMiJkv
dk3yMq/IASLRCqauYb14e4L6vG3f9RmhmpndOhuhRmMPv25kWmQXwVWAA6YZg2I3tPFU8e+oajAW
YaK68AEG80D6jwS7ril8N/nIgj67QuhHJ3TzrQnA40WcWHssVMYtnWW4LaGWA5oOwTXgRUdPG7sV
1qN1c1ONFQIajrH02JIPVZmbqlitef//pnBb/+5hjWAHP0Ko67bwBcQBfCn/ncCN+S5YgtvMuBX4
02+jDJtXvYT2/2LvTJrjRrJs/VfKeo9szENbdy8iEBMZnJmUyA2MoijMg8MxOPDr+wMiyypTaS+z
n9lbvk2ZsiQyIhAOx/V7z/nOveNWmrcZSnxmoWXmyqasNpvXyFUAoxBv1M52VDAu/0ZS/rOu3bQ9
4K022nbHQkX889vxrZEtPavoSkyZ9Ujz3Wt2fp4Zt44/EvbembK9ig2DJUvaSvsuQNS9/fUV+Skg
YbkiaFQtiwqcRxktH8wDv2efkPUVEXDcdodCsxRSqkzlu1nM2iukGjeswAOcON/PB5rnSYLa35he
8IyN912qZTsaOvpDUS+i96Gp8o3mdNN1ho78Yxry5gZmF3RsI5nm67wAln786/e+Ei7/RcDkvXue
7yzRLYSBGrbp/fRtahrKn1qZ8pBnHTNUq2bWuC8RTp452QQPNlLd+wLExiePheCA3bC78aY6OpSj
8P1dPIn+77IK/vSFAjmlOF9y6SzGgj8bBBBTS45CBkflFhjqJktaTcNe1Kr9qr2qvQGRixnJVlH4
z8DCVsn3X1+WlXv9x8uyZGD6nhWQQRZwYvjjVzrGPmI0meQHmXrlsNcXbFs9m+4T2ur8yrJy5e6Z
3I/ZxuSEz0yxapgMSxrEczh1o/uat7X37jgwfrPO6rapGvsT7gzL2DTu3IdouRm5EoL0xW0CtB2F
bnPczKOY8QpAseQDoyrjhi4tpLOPvWFitJeawS2PEv/urz+r8acLHuBtsS0LR6tpcEf/tHyZ2DP9
sHtvf5EQ+Ha3aNYQJCDDrJRuPNeajRQhjWAi7EkcQPq2zDaOsGod+4galwn4AJ9ZXreECiALCHL0
F1aHWePGaOl1nWK3L54SvbTI/04WBdPffAKmuHwff/i+AsPVmalCOyYa8k/AY5obRSIipuJd6kRv
jDC6+eTPFXl1aT/QnU1UJZ97UhR+cF5qnpgPVtGVsmakhgyIEPNYfgJDm+ir5AANPzsjmq1fDdMl
X48Ru41gs2U29mEpIF0IuYLk0xhrxvgMl0fUXCI2kQwlaghjdKIc2FSC1zzFeTJx+qgiP/Ta2rrn
hOH/SGNTO+ZtZXBWTrAgo6jhyGIH3Rlfi1WEspcObu5s/kZyhbhSjDSJoDMxvRMY4KlPS5ifOaf9
+jf7kIiwdaippd/dU7ZIylv6NA/4iRDBtqShgq64RoEY3FWZP8dMdwa/zb9IjABZmGeTXt07fdx9
z/oeoYXfM7dmhsitNzWOhZxJ5HxOIOvoAeeWkJ8rmhvIXNuhR7PXJIuvxtRm/j0cMVTyWPFZHEOe
IFh0gJXYR6RNiEyklmjuVellSYZeDzHm5iIsJqxl0g+iaKANEBg/32AQnc8qU05CyoVbe+HsMNjZ
BhQsZdjb3pXwxnje4yyudnnZV4cqnW2NtnyH2ponXideGKgtZh1sxxxThFy2kTGyqSPsUjfzG71e
tGtTqrEUwa7w5i7aIn+y+WCoeJJPnymu3CQWBz/i7JGebS+SK34Zv81pXLRAjpE3r06kqAJR3snv
eu0iT5nsxSXBgkPgGY+MBUIk/goajR5zpYLE5Ar2c8Gai4DIlWvRGO90up6vFIEu0C6nyeqPMsV6
o3AEyfugyg15uyqG00J5dclDAhUfY8fFnpTHGYKRi2qzXS1JWkBPIPTkhGykF5bxrGAV9hts/OVw
iLgp4m7TpMTyPFXjhEAPHQ+PZQ4ZvG+J5dw9zGODwLka0ecerIRR5j4ulQECYjZq4zszLOQq1Yi3
6YQgXo9uylR4J8VWOh4Dq0vnbdS6hNvortF/lL0OzSCOZv3YROXzlBT+Td5PeR4KGMryvrD8vt81
UJbqPZJA7Cp8m9o9KM5CHVQ8JQcLdQXVhBydOxfnrtpbveufowiP0QgTJd3ECMniXbXeyMxpuMwp
ZiD9kDDqu+JjzQ9Oa8OMbDyYXlstz9A2jowJzXZAM4pFpywIyE0o20ILc8lbjgTLODTzjEKnFCPC
aCZODusmyvjyB18fk505TkO94RtH58hDMNtM5TTiJolZMydYawmTDtGCydyoOI67UBSmyQI32+Ch
tJZnZ+soOt6B8KR5N1WLKm4VM138ZHIY0QQoFM0gxvH2IFYcgDNdNyUaJ0Ytdr/UgGbLHCodD/Vg
8b4YGHKMLeJCoAyTiLFDWS43cwnjw31UFW27CGXO1eU980ZY9zp/yeTXlHwKqkuWTTBxR28rt9PS
q1aPpxdcOV19MKcBc4O72gr8xpDfG0dyJBrH0jkazoT/me73R43vYkO4fPtO43ZW29nXPQsqbyua
ve8C1z1dJFz90Nb5QfPzvD4ETioevdKwol1WzfN7lrIFHaDDuswGer2Xu9EAvniFPZ0PSQ1ffq39
KbVDv6RrvgFn6O2rIiVXqlwkBwuIRWyDGT5CiFZUb3etoanvpe33PKa7zLryUA7FYVHl07AluhX9
NLIyEfAzOMPLyRIPhiT1Hdxgc6uxeMVGx21275mxwVwFERM8SieR32FRJr+KbghQVDaadaWTF55c
2auSE+cXq2byLfaTi7Y87bmvty6YJHXUzSm9QTQ9fvY8Blz4sm2kgaUeG7mLrDwqNrpCTH4K5tYz
N1ofWad2cvmiOt1S9NoJMdnoel3bRyY0srnT2kYrdyXQQ/3ZbifFLs5J/9oyNLveZH6DTZu9scKV
0ZV80etvSXoN0b5HEwDJd5xTg+iz38nDXNtyCA1ARHQ4eUyezaT1yxBQBS/621PAdNlxOvAKSCZN
ya5RrQtwWr0oFwOK647pwR+9nG2hsW7HRK+Tu9jK6A1kpl0ku1UZ29ZtyoikRW8yarH7gFalv3GM
FsUYmNHradbl9/XxZmI2xxtCx0ygcwAUs+uG1OSJ7sZyi5lL27rGRGu3Gxn6mMHMxt4Xmc4wPjeL
hwIOyj2oJvPl4twMeIDILbNYd6BZZQK4nCEIjic4rBVTRYY5aHHbhXZqWIhEnoacE+4To3yqO3YA
pDQ+zDCwDosxZkLieChAcv6Qc+ejF6Jfdk07WTtWvUm/wUwyL+yLWP4AXuMc5aJYFCWk403cVTBk
QIbl6aZBaIuCLDFMoK2TYRehbtIKoJlNg4jaW39xurH+jOYAcouY8vGbSnWGhsQRoC0dV1OB57Xu
W0WlVKP9jct3lv+w7YRXQNNzInnd430I0GLEJaxLod+v9bTJ8zjf0+/UIPDqNozRMba+oIXK7mk3
u5g7xyw4AzpA7Ma5fnizvanUwlzE/QclISgwy7UhNgvaw1im3BI17OCVecDuY5GgbDLCTR/KcaR8
KBrXgq5Ar2cDKYR9r0OFwOpZzFJj3RvPaB+9d7+kW7pLjGlxp61GLL9oWZ8s4+FtSjnj25qOrKYM
ekBCJSAf48NABVYfkbpUWGFR/TVX2B0H5DcwfcqF5Et8dwcd0m+HBz+IkBd2KlluBYY45tbKe/W1
1WI6Npqp7Fd/FQYL4XFvIK7m7epFibUp83LVb2BEGDubNsJbT7v0eU6bNHRSPDYb6DPB2XUVTLmG
yGLrWVo6F8VYLLFYpiLxPqEO/dVN3GIGewWA4wa0i409NscagqpnbLKQQ2bP0LvHT0iLNUKnbzR9
ZJ6Q7aDJb5wpegictg4t5QKFswx1LrUg1jkdFZhFhevLaY+iUR7Ahg2cSaDr3ZDrY7jENQ/2yDx7
sb1cHpax3i7VzFLHdFk+faFtVv6osCyl94E91kVI3AxyacWguQ6RuCAKmooM1RYBph7zcfTfeYhb
SXmhSffB2vPA7cZnvJGFd2AsFXBsEYCAji6tY39v4LQ9dzXOu03XJE17bJfoXUWfBVuw55CLcuu2
qVd8xKo3DoBv8clCre4+L14kzW70+0kOTBYYtwJjgBdlbfFtcqXwPvE0XYIK79ENUpGPGhZcZU2l
HyKyyzWYI5N/moGGOGEOG8/8JvF99tuMhjGT/zEB2ht0WLSgYSjWMIpCsdMTj7mMZmTOp6JE7re+
odpzXCfOveN1w2Mv8kzt1KD828tmAPoIjXacoE+E1h4dmqXt4cda+w1vZ+LeeigBDrozsMFcNOhD
WuZHUEOoBEYmYNsBkdFATpHJo9i3lfW9aoP6yJMmyA+YKajTfMsp1N6LW2qw32xLs4W+oLYndX+p
bx0Lrf4mWi2tlkQeui0siACnUdcHyuIMs9cuGAF5b1tLynfsdVzBzsg0AqqUPRTb3ktwNTbJrPPt
IrTZuPHMUQDEEjtvPEhejqOSdXJGDOc3F8dTzy3xOrBIi62pKRldNXYASxVNP6cTFF7xN4GIIjix
eZnPzOJxPtl2vxTopsEmYDs9Y7q0ooNzMHpaA0y+xzwOE8PvJo7TKKxRqC2fC0wnl8Gi3ciFWk3K
YnXOavkCChDtyPKe7cW52Jh8PXt9+fdYQRbnfaqP0ye3cmLtSm/BVuJCrL5xbht7yCuto9mbAnyY
Tq2YYOzUrNGwPxDqYTloGrxrUY/oOXRXL3NkL+cHgtN4CLQFADwfvoJ7cNcCYFzNjIXssXLYDFNf
tUnwWRMs3TCQVlPrHCBsd4XJSSBf/BC0Z1gWYyf46m0/5nr36aIx9zlQoxFf7Ut9sxy0sthbjh/S
kt8vYnL24bp6qg2ft+INNt9mcPECichj0ZZDEwNDSZdfuRobCYFWOFOpN0pcoRHF4hHNEAeTrNWo
Mt3EgvUCyiXVmE+JVntyJA/pJ2Y1vG7C0Nl+hpDG1tbDPVJ7c7YpCBwGdVqBmqJgfRqAeKttIlqH
CO3E1JjJcBDTrkB+JcapdRPu3wSfSrvrLUqeG04s/Pmy5ZYdU+Kj1yXBuWVVy9tSeEtzatKNNH0I
BoUsi4734ipHewfzEzNI97qWxpe15GtlWxzioWmyr6UTs06cNuPcQKyu5nydE4mpTyqOVXuHXRUZ
/LqiIp/49z1aVY6OsUuHeuuai7vysqIuBuKLNZKRH9+862u8TU6++p3t4rPEPUVF0b2TK414hkNP
QFKOn7px8FGVBS9swrLHSEqCDlsqxhA+BQePqhNbIWf8u3KFVuiSDuv9xakcMJ9GtqFSKuesxggG
EchcCBYECSbd1UTD0TrgJcQfbK6G/HqUaBZj1UlkbsuG4FPfcW8jEeu3o4W+Zadcye9pTIrTnR4t
bkFoVFQjTkmPet8I/GQnHd9Bfo3MTxNfBvT0ak8VV8S7CO0OQ8Yqlx0yAjB72hybICTaJB6+oPsw
niNtwl/m520fn30/aqqDQ1U4bly8S3fUvcjhaDAVnM0L9evAWOXVRkx2g4mWK7o6Opnh8z4smwHk
Pl6NXgrg1T4PKr3cWXlVhAPdwM/ZtQr4nr3KIDXVaCIrN6l2+J4MCkg/A5dfBB0CA9cbONJX6HSv
BmwMRthyGE7uRshoSSiYvchr03mL5UiQGmnk8Sd+BfOJKGEbyrAauGWmdDDSXaDN8qs+WWwxdY3w
e2cZPteUcABHfEOXFT3MHvMpZinK+QFQhi1S1gbLB9k8f9aDiq2LvDaufV8PNoU5tp3xc6LbVO8U
sg55Syq8H/ZRw0nTYUjFg5meD5SJtcysbIc3zIyV+x8CEo2WwTTlog3hns86RvR32DxEcle0GYsF
EvTwyAGelkiHKgkramtX2Q8japvsx4BBeTKgoQwRFZTrzzQBdEj68trr/eUD4gJE+8Q8tblaFKjq
bRwztqmuWcyaOlpwzonLiHoDwWme8FCphvIOVT0/fDHX1hrmXGTRmIGZovGJkhkTyHat2s2eVtlv
FxcEK4gAc0i7JxBSVGStQ/WwZWsmgyOqEu5xjWTxcjs3QARvY3uuml2ERbzZMaKv8hC/j/w+Soub
NgOBZT83Bt2CB791l/fi6ZADw7L3GhSuMsUNRrBlGmtf6tmOtOeIDDH1NU47zGt2k4npBqVV3DxM
fKn5Z1lxnQBKBcs9goGu2cihG9QtzXv9SYfJ+xVj6XK5KABo9gHxE08YQvs89JzKe/SNRnb71iXO
YxehiU63ViJKa2thqpEQ+Q2drntfRWdksd3e8qP6Js6BTuz1fIoWctfioe54nmaHzmiT/pC5GRQU
ZiEUQKScDd9mAgLldTrV7GeGyrliAckm8e7CELicky6tnJpCKPuhq2H5tnSpWEp0zvjOnK4bxYvF
ed++udxzUSVhvqwNqrEF1ruRFpa1CxpiXEEBVQViY2cuvNebYnVzYa3jy81puiThZe3ra+8QzCDF
h1i/UgMJQ8TDZjlHZl6Ls6su2CdCi2NQuR1MbbnrmZlhpCoWp3q2uq7Xh+SFj0FbjpVx+TO2F7Ys
CDnL4q8iNT0zBIp1LA5o1I9p11nxY5WQ+7XNpqpJ7jzZ4WeBMzThbe6bhA4lo0tctLFls6QvSyyo
Z/aHrAZg99taieOlNJGj6DH60/vlbzNbfo9K7veNTUUB9GBpQyU2Kb3cTx0/OUaA5kKBJ82+GUd3
eCZmhL+83IX6us/Nic6Tg00zNQm8TebmMhP7/0CxvwOKgZVievHv//2fH+o/4s/6T0Cx+zatPj7/
sfs+vrff/3GSC1jsDyyxyy/4jSXmGr9YNssVJ7eNjQ8+479YYvYvCMwsZg4Ooz8mRUxJKxyCyX/9
m+39wi0IBy4wEf2SkyDrfv3/nV/8JQ+bICmyA9ff9s/3+Rs5S/70378naa2JU3+YeJC6ZfIauMiB
AlBs/3FCJVxtHIwcO1HgTt38Na/YOhbigmPL27RNlf5j4DBm0/7vZ2BkBBtoDIx3gWd38Wmqx167
79UMD0/I3g/rougscO2mmfsfFOsGQQuCQvjQYqnNFrcQOxKDDGxjPE1gYs+ZS6ci1nJ4te1AP33L
Y2oxg8i2i3fW3Ke0zdwJceG27bChbyIADN1G1GU7bJ02mcqTjtfnulap/971GOQKT89y3kiKsgst
WjLtcDrnMsyUZhMcTospuWKolHa3jc8QpDQ5dbdm1u185kr2zo87jrh8rHbfJY73va0L9z0tkbbt
YMvU5jEOyg45F/hG+Gfwh0WtUMqMCaqxbdqIkSiCOK0Mb97TZKaSEQrVkLqytMIfj6UHgIwpTA2S
5xD1CswW+kSkNutq/H994x4+69v38lP+5/KLP2j3tmSLdP/9x/9kNf32ustt8If/2FVd2k0P/Wc7
PX5KJMf/XHjLv/zf/uU/Ptff8ne3JE1/7o3/8y15Ww/v/3j6qLv0/Q934uXn/kn1C35xbeqppV1M
bCAKhH/die4vNrC/JYtOZ/DHdOL3d6JJrDiGPd+wApfC8l83o/WLbdBvDgzsRvoaNvvPa/C/uBn/
NH3kXnRBBCKXRY7p/pyi3ODLI+OC3llhqIb521rr2UTRM7P3/LMYA54LxpAh/ONN/Y0g4495cY7F
PRk4UAXZpAyi6X5OUGeMo2OIACSNF8Z4XgkVcWP6ZxLi3RubWRBSNte7+t139NsV+P32w7fx88TV
dEzi9WzT5hP/OaASttEUJRLdBTLehbER456OWwTAQy3irwqn9DMz1eiFZn42b9I5468Bap21BNKe
hq+N00RpI6VkCN9yW+pAvu2mx9pQgj3XUmXcNmRgqh16JgrNpnMQ08R1ewzA4z9mqRzmQ8t2+wxV
uL52UVEevI6dzMfe/j7w4L41abmH68vJIVKPhRb4ryStONZZsLdTHPPVGMgINkNhREVYIMfi2E+F
t6TC1Ex06AcGL26Za8lmsPux3A8dMtNtizQb4vBalRbLHKvXJxepl+yPXgS8ZjvQR0Lr1CP7aMr2
iOeYo5aQLUvDM4qBALMhN198uK0vdNu9Z5iqnvUw2Zl17XjLUJkha/CCO4eywW8xCK9FUKfEUouI
gMmDueATOGwj+DZLPKs+oPiS5dYUih/sDPWIxThCaa7rUt43Uc8n83Uubj3q9XXCaoUEnZX6XWvK
YOdO1mDfeJVBBaaX5D9sCjjxqAKbpmHP7WvxAaCFKCytEGNYcjO0O/K1Kb3mpfedU4WRPp0at7bQ
iuQKlnawG7Bj0+6IG3UfWHrGY0jz0Uz7diX9bTFEUDEGfPl+4eu32H24P4q8Uo+wELlKmkfLedRK
4xYhrbAODO/cjtFPwksmTtWxuS/nVsIs0GQG6WjetX2jmLRHHHe3U0yIyNbUneCBhkr7PM3xktwT
Lcfnrso4Sq+thQH4xulyMB5mr3M+uqyXt/CteIMinydoEigfN8vXdpvbU33oo56jesokQ24ujeve
LFiaXivzdKswrz3L5XJOqY7tLpqadDhoaimJ2xpzA1pYfOAh7ZkY89SKAzP9kd9VuoIPGhhc8dp3
W39bkyx5r9dqgsStNzyzyLnigayiMblDA2vY+0Afy4gDUGN6RxtYsripCnpPNNGI6z7rmlmUu9jV
FxzZetHcOtJvR1wlr7papmh6JIIdefRcz5Lp+iNHYvM5XbzoUJKqOqy0pjp3NkRg3MuSNzZheUAt
WMclJg6rcN75MKwFGBdczZqTDuP5oT9lxC5c010DVHZZ9MkCFissJjRbYst5OQ6Q/T3/gIyRtlU/
ukwMX6QR5YiOGDNeJ/Q+3MVxZ4EQ5P3DhUvNZ38qjFvJ64STxm2MqVjjVvAbTd1nTsIYCIf/2U75
U0xonRGu90KKXFBQ0TS8fTpo0demBy11C4azPWYaSqgr8sH4tUjpAVnNkx8KcMoY6SalHnFXs2uZ
g8OHhEKmHnFrcP7LtWGonkxCrrf6wIDL00ZaRprrc6eKqeSVXAsqHMPFKYnuTGkaMkRcxE9mnmWd
ZseJ5RIehJ+tQlUwbwc67uwoOkt9Rjx27+XCfG5qzDN8RmTTdmrUJ/o7wQueDuc9o/f1hTgZogp1
aariGgc4E9paVQ90uTK0omA8mU2IiP0G6jF09BmYtB7hTuJMmlob0H78315UBGfp5iIcSeVB0MJz
6mrlya2XhyxX/QvhHdiNXaEThhZ12V0mOgI6nKg8cGwbQ0jIyRfm1sO2xvD7KBJBIGQX9FvNiptd
2aBG3JT4P0FGNyTw5IFsj05WRx/FlIotfV+G9LStQzmZBj7HORLHYljAM7UzTw9V0Sbdps0dzFz6
4NwGym/G0K/m7EaRtgGL26a5JngwVRukKvcMKOQb8FRgLwbDaUctY+0LBmfQWl3s10dHR0/ADXH9
0t1wTGB4UNERcIYm4iu6G45lv8fNzKlwwkAGO7PnwVSIln+XEs90hMDUO6FR9uINBZJ/brXl+KkP
C2yUbYIsRH3ifsYakMUb8EiAFmQX7Mj+arWwRdAVwCkStJLVINV9Kl1zPDk4EV8GxksMLIXln2W5
bgnLvRDYkm0xxesd7NTShNhPxszOXjXsk8uKSStm8kQdORUp8qRvvKz9s94gkG+X5AutIcvqQewT
1LKCsaunHgVxiPXW7QZO0pIq9xbjTn2dGQFgFm90+DikMfPSqSckOmCykhiS8JUHfrQcbTmvH8fE
54Lkdh6nxzleRAQrCLDCl/a6pFRd08LnGZbAJHkzwKKF0cqb0fC47PAj87PZUhT9dT2yyBR/dxqi
+HFM3cO0zHRs4Ssv1crv4ucYNJrkIqjo0NfN8EMbx/6mVELbYmUbh11h59HLX7/gTyUfL+iiO0Uf
SHi0gYjyJ4xxao4oAwvTOsSVDA7m3CCOxKaPxz41s1PkeiddZfp5dqf29H/9ymCsXRLogWq5zs/S
RDvH70pb0uTZQvtAdKV9wpxRHYhgaDlOYZAlxmACp8HI7q9fmcHdT1UfH5tynskUxbZh/jlH11UN
cXNWhR3cgAq8tajtDihTqCGMJv9IeqxAhq78LdWZr7ZGC0uz1q3lwTukZI3QVUZm6Cfe3sEs+8Ma
fDMUrlRH4qDsc9Z3Q2jJkc0vr/AfyTGDTY0FxoULTyIu4RZbFXXtMbX65OC3enufxk71mLT6sJVg
fo9da4wYjmoFULRLiqMid6T1xMMAwT/0hflmIJhGxNSkCwDHQ2Jqpj/qLl8eNNKtPitAW/sGlsGV
n07aCYQlEQ5MPxcNSfe1JaN0Y0ij/FXikr+Bsw3KyaFQNbysAIVWX0FJxOIVzZqIN7B+DWwTtItw
HNjfE/QeYUDI0cla0NL2qqqzU8G2NoyecW9zdvgV984rQoRgPySjsBmfCP2AExuWjtB4OLqueO9K
GgKg7gqv5Dkp2iN+DuoYw5mvq3gktQY9I0JSUB5hn4j4S093t9m4Y8fQtEmim8qFwXgRLRCWHb8q
uljvTkV9oiBvExyMkJCxTjTuZ8avlEpTRcio+KIF2biVuW9sy1wCnepc3hBW6WtoXd5WmWgPNqhA
2ArHfCKCJEiMvfCHo+/F8mhEdtVu7IUioybp2qHGCj6t54G2Hsg5mFX7CD9IHZKiz7/5uKau9TyB
sRYpd5fLyN5bhY20yDaSt7QSpMnCddu1utYdhFTdsSbPAd9TOT06lfXh0VV4SyFw3s8Kec0S8XJO
Z1ZP3tdkN2BW2Y1JDk8RofjVVEUo7QfydzHAa9lH5mOCtKICPhgQ3b3RB22HlEv5V+s3OiRs6T4d
wVPOZOPO4PY/F5BFtkDIs5esI1B0g25m3OhTlb46mrWAOwyM+vjZN6XnJF/LNAay2Xou4FVfxNcI
2JOjpWHA55Hb79oOfGyD2FM0JgRfKc5eDzcy8mtwznWyJHJwk4JPtTAMxHU5b0A1Brs5Mik/yAhD
6hW7IbTM4tQRz3SqskIdu4p8R8/Rzmoal88de9cFGFiLQT5eW3ZsnrasO+fV7boQvTgZcmaFYE8f
OcT4sXseu8K8QSHFA7ZCHG7qVLtDwlAM1+JI9QMU1HjGI+aErZ5Fz7KKl5J+GWtGFmPKuCiX00oF
WwmPL+6l1HVgYFnTcCdUpR0Zy4vzGAnjLcqsEpXxpO7AD9SfTE2rcCWGEjQDqnsmm6JN1AHAYvdp
4yzGTWU1bLva/CVzBwoax3Ef69G/9pqc5ONSTqeOWkJsgSACDDM5C7zktu0/d5MTfzdVXN7Q0q1e
oJ+AqzPT5nEwSCWKjKHaSQEVD7s8oEapQRTS/cZFwlVGDw7coKsWMy9JwoweqfUf9SopbuK4J5jG
dfakH2rnEfLye4IFZ7tIKW8tQOV3uiv8K4E/4prc8QmHWQ5GUgRzRTRqZN5wjrVh1mKNzdBkM1+b
7Os4aOJfgRMx+Min+XkQSfUq+84Jk2iOv8UmvOdrc+WhpzpTl5FpVLo1MgX2Vpo+Yi5FscJZnKf7
Wgaxc6pHrAzTXYP9+UnUffF1BNkGwqPk5HFp0WNL5dHOg++NHkL3MiEUvk+XIjZyiXmbnSY4pyKd
HonqTg+jLVuGO/En6NDgKdALiKqWY+262R2v1382qNy4jdTYcfprZPCiyzo76FHpAVkoh2ujc9X9
qImSe4Qc1oemBtGbRjjmN26ejk+Yytx9Yhg1FgS2VS9z2ydLjGboBVFzmiTCxyYpxkd3MvRr9jlW
JBkz9nvjuCzRxYH6iv2eC3AhxRZ9QAMf/2L0wOzaui4dKseY4T7+zI5mwMYcY761wu+8N2dqvdCZ
kBPi9XUFkgPTP9D7t96KWZGPhBK447DFPYzuKLrJaoxnARP+X1UDQJtnC2SWAozXC9GyDBBGps/U
k3D0tlOb0cnQmw4ReJ8/ithhJK77JeIoVP8WWsEPynn9gwqPzXIGg8rG3Kv7JeQoJdazm6etUyUE
1Lsri7ZaXqUDHZeEqJqDl0oyuMFpWl93g1dfq2R5ssJC5+OphtZIagUvCROabo9eMO6hysTBMek9
69UekviWfkF92wy2fz8lc3xbBiI9RCgfQo3W7zdHBtjJmna4QSKznNmh0bziSBtfO24dJA1jueRr
whe795YeRgWznNRl0lnRQwf+uecK1ttG+jBSO2HellEeBLuLQPECMm2W+TVMbDaSWW/90MFVeRtl
Ayf/y667FHiu5nJ8hVR0tuLlVZaDbGlMI6XG1NPCcF2+xraqXrK2sNDEBBK8qcgDYivFTAcb6WP5
BQtI81poJXG49WC8imZyz4mqOTkJigSsHJOz0cBe0sRb1mkzAN6OXNslptPyn1IG+Vh0qlRH0t4m
9sFuAosDEX1w9AB8DY1bXQ2dmJ49iXGdkJExjFtph5wFaqL9OOzBRMH26SfFs2LC9t0giuQtRR92
9NTUnxwY2dt+tBGOxlG3K/WCHg+/mLVhnWzYBq8EB9HL7vTu5AUZdlggrsG5o7N9iNKA5Yy7ODij
rxGvOTNuTIODp+5Np2hORQzziz7RPO1slMvoisz4k/ismthJKhupc6+S1cVj3e5FTy0/qSeEOR1y
NK+9kaoPDjXY1GugE9b3ngr9Nqiz5A2XtHnEyZmfZk/D4j1DztAEJK4obbUNSh0WoeeTVYv6w7u/
kFzXoz5p3e2x0I2Rg6OE0U9KMqAqS1O7CJlwHXfZnmIih9fjz4h6nRGt1HBqx8VnmxZw1mr82xiX
nQw2h+8tVA4Jb0jTXf2qs5T+MJqE2yJqS88WxT0rws6ady9VKEHzKJ33nZTmy7rezEJSnAUAV0+B
rXBmKdsBVALrMQS50Jx7XQeWkdSRs0AChiMNmOjMzKI5gsmyfnQem8jGynwmmgExeZRjU/TeEHzE
AnRG9CxRZxifWlrFu9ioclx0UXtqZiVCxKDamYQPfSfy3h4pWHNxNMtsxHiQWUdvKnrSQwC30beo
DmMCoxTF6PxdOOzFCaXL7WXUXS+NBNKgJlLcEHNic+T4OMn619QBOr1x8UbfTkGqtq7IHzovmvde
hvDHi7PtKPGJYtDGYhFT6K+7fDkRv0zSo0fF7YsQdT1dSD1FbcAZ+Hrh/YW6FOq+x3N2xi5A5Tuz
I3Hild+BX4tfrVzyF23S3jp2MM84/+3gxVqFXPNYV5+ESmrWl2ko0fyI5SabA7a79eKtQ+gi4Bxg
muyaHfvGY5Lmy1aKtJWOnbY0jiKdn72yI5+eRtGY7a++7OhVGYvOSO+QpO/xk4uTbuvJ2+D06lGN
rXHbI9Y0djS0eOCN0BlQD6aj/O5PbLtAX7E9yM6rvoBqDl7GxqLNuoYVUOujLVz6sSjkeXLoI/cb
aQ+uCdDTisnrWmD3XheoR8Q6dLeH2XieiYIn6isjQxnqbs9BWdFsMcLes/kUzhTz6E6ykVoV6h1/
BufU51+miQHgNs44Z17VZkAiBjsvCq61kemqjvKG3iT/G5j5KF4mk0kAiJbp0fd6LtEMqIUcx956
1khWh1PvzW3LQyqv/oe9M1mOG8m27b+8OdIcPTCNvmEESbGRqAmMpCS0Dnf0zde/BapeVUpVt/KW
2Z08sztJy1SKBALh8OacvddmQM0z1a6EartFrRaLDby1ZUlPl9gDR/PthstefWb70TCdM3Ig6eT6
PseWTfowjw8jMOetdgJgf4NXCQQ6Mby8OUWqpNySMbNs/wZmkJwJKz4iFw6fISq7X0A/6Uu41PY6
DRxjO/s15f9uSTXu2u5Ap5BvOwf0tAYGzWljXMrxZJw8j9DC4Hp2BQ4jswc1AnslBAsWI4iZ7LLc
hSirL05dFfeKMHSm7Q+bw8e+p0Vrc4yQVn6ilEi1xhIsIPEMjmxLG4eKdNrw2BuAyNEWm7BzTHBd
u2snGyZc6KaHuWD6uHzltPw4P8nOYU75Ij+6Lh9Nh445l3fK1y92Y4dXMTmQDMOYYZvz2UXChhid
JQM4WeDxbd9SL6qWcrg1sZVZo+7mnx9L508VYjy1L2QjWPvIRyBcsTHO9ssJEJlxn0MdKevAMVZe
a7Zb243Ke/+jCPkxEViKwtpkx+HNzwOCzQ4JtFuY3ca0F5y1Vc4ecSadzH/MdpUfCscoyiezXopj
HBxg0PUD0sbcQyCLOjM23uwQZca6cfqqYOpZakF+AaYYKdsiBp9Gej7gA5tvmDP1sMqor0Z7v+Qp
cYBcAmUa1GAB8e+Lr2pa+hYD1fO4jNtLFkbVcQBz3azodEXoslr3U28vdcyc9guBge483tljWcij
BuV2wcrE8Ftq0JBIaHEYtqTc7GqbtzGDfv2Af43dTQmMrdhPo6C/ASaGjV1CJfIcjgaF2eDj5tM2
jKNtKhh9z04fmcNRs10Mtx8dJqwKjA43lFxigD01HrB84ozqqkS455J5IN/7OPDvYHWBOkFlU72y
7FGwg2vEr0LFFj5/7MNkR9kEHnTJ8MVpZR8/1leotezn/GnZfmLc599dD/74eihxg0dtGl9o8Rt7
uqPidjQFBWOjZAfVNG2w+dhcf4xp0kE5mLKmwwdG/0j5EpPUOKniEiWiuAU1WN7GhTt9ga5rXr1q
SEzIsUN8rRFNXhvdTdS+qcXcRZWkDF5+yM3nPhachq3OTVjO8yLbBJ3L1xyVqftqlewEjtpgddym
tJOSu9g1aPJAi8OlkpTiQih6Pd0lOEnR+QhmTiqtCCHx6aCAcnsaaSeyd7t6DwjGnG9Kx7SP3TIv
uykiw104UjT+aXf5+KpbTZOQrTYzPZ5rpMhyqeCD9AqcYwWS6GbqK2Zv1IuIg5okYp50C8UIZVEO
4CizXjlOHz7X+CCgeDKYfKi7zIouiauJ5tt5+ZhRy4hdGJP+EDySRgKQCQE41DDBMduE4u7+MILI
fjP6oGcV71zZZesy7yLgz3Yy3VH1AnQbWbKqjhC7+TpnvQRAfGzH0UjwBYENZOQHzERZV9PrScBT
buZpGWCmEAAAI5UDw0r5f7YjObs0KCnXTCOEAJewJyKU7SyA5nIKH7CELHBeYpyu/fJGRTCiz74R
M5rKtOOF4NDFQB8SzBngZ9BhrVQagKKBDpeATqEjGi6bseEQkTl8o6gVLFEdizB2aD2+ubntk2cv
XURu+ZSJowGc5xP0qm4fwBZ7NpsCPL43FUttmKrKxzTOESZ6RHadFRuLCxz7qRjWPsKrix0O5b3q
8FZXqZge2VHSsvw4tEyOS1GhUEAOqCbKTQY7dFxDSUu2HXXqqzDRJdK7cJjQE388L+2/a7dYoj6q
gnh1qLownXwjyNEGlWlzMxm7v2d2HAwZx3SNH0nnNi8SMfC+L4IALpRMeUJiLlwq6aTxrXt0mg8G
U/bTov3aNYTr3rDT8i5lm3RnyNdyj2Qsea7RHN9ou9AvuLOdL5NZZLtwEO7jv6+5ohf6tbDNyy+Q
8cGswvxrWeLXwvZs9FjQwsHae3ZrfmWfGJxcikom+1z2dv/+Wr87wV2Tij6aCNtD0UROovjtYkPG
CXvs0nzPO4coDaW1MtbMONg+nDgLSuhmbuTf+1nj1+fIsACRVDiF90WSk3igMoJcYIeSbO1oDrKP
TlGAZUjxPwGfZqhuGZMaR727xKVGut993P7/tHjmkr5DvlE/2l/lMh/yj39oaf5/ktiAV2XY/NcS
m9uyfa1T9Yu85ufP/E1e4zt/MLTCEAGL7wS/yGtC9w+TTkfAafanCI6OwN+Ebq73R+CZqGd4cZCg
/SKvMf+gvU8PDCSHxc+H/v/5D+Q1vzUdrICyMTI7hHNL84El+9d3YCAvzY3s2j63SynyqrD4eleH
bJ76L1giv3WRuBBVr0Ag3aOPxGuw3Mifukgt8eAtePruXAGWovhM1/zN17HT7GzDMBQc1qUY8aev
4l8oaf7pmgiQbItaq2dyWVw4v17TD2y4KY2VcX4ykUl3Osytz4Q81BjPJdbfHLiNXeaIp/4+AP47
V/UcByUioiiLf/F/f6Sg5IIQfk5/anVT59jI5IRIpwdkeDek6G8f3NFu4sd/f9Hf5jKKSEzgSHIc
eBMLW/m3jwrFpW4JHGtP1I+okgtbu6/dGNfkFxTZl39/reV3/akhyLVcxp8Qlmfzffq/T2VMqbGV
g/A4hbWK432MNSWBepwx/cd/8Q3+88dyfYrKfDRc1rbj/TZrdhViZGWH1UlOveetYTYVz1U9oFwf
Goiyf9H++xdXQzDDWAGRYjrO753OGPtbCHejOQXDLL7pnhBrDOx+VaOGxhe8+YvH+BschOeI8A5l
m7c8So8q66/DMwlb7LFjJE9jAtIAwzukpubFR3ZUrwDYhi309y7MLz29KNCL6H9A2hR4xo5W6oMg
J9++aw6iDwLCB4V0m52qu9DephmH8H0XJqy3K1zl8VeXsLfqZCehhZM77DDNBlQTJjwT5iz33dBZ
KUw/alpsXNyBJO7JId4eKCWYuLV28GGdsXiD3iI6STYv2AoIlm3MKimIn2jtZlf2DjddqCyeTzXa
9fg4eojyPjkEJgWneDKhNvadW0Csk1EQnRY0oLXWQ+l6d9j2wglTJ1k7wSrr/b62l6K97ilHuWHV
hsirZpCh//HQ4ukDAyYnl44reuPfnj6FBQRrQp5mKk7tMWD7XG0Q3tj1c5Sb0394OcfnnbRFiGLS
dy2k1L+9oNnEdjj2dXAcrbTvbi1TDEw/VS3Emv5/aP/F4EKo/OtbygVDwcvpCDrajLEPOtGfJlws
KZAoTdc9pgw+qkx2GTqfUt6yLCCpqUVUxlNOcMwRGIXRMIN5QAwnkwjpDiAMvZMj8T0c+qKbRLIV
4WIMr32K8xyiZRtZ4fM0sg281EPhRNOWnpkUVMh1WH/P88mG9o6mKltSStLRCzY5NCnKw4J6Sd3u
8h7v6iaz4mhfI2wbnrUoaIQNLaRrpzPjR7Y3WUP4S2qkO5YH94VSrv3J8mXTrJPR8U4TgjXwAW5D
Lu9BcuCSHfX/0ZS7iYQE2MnEBXUuJz9dqMeCUnxYkuLX87kSnyqqCx3CKL1vIyekjnIRA8SZz7pH
iJPtDTFDiUdZWJOXwCSq7dXPx6M4d3jXDOA2XIkhZOAjew68jJQBEQ+IeQwZcG7UJfY7jufDjHcq
DDFCr3tX9aw6WN944mNZc1IrKltM51iG5mumhwEPfhlyuFx5Cff5SLLU0DxWStvGPoOaOO27LMYN
3YwCOG+XAArfge3t1mNKF2Xf1zU9JsKwUrbQNnkUrSlvtVpkMGSXjMUuoabc3HQItYF4Jq321TMl
GMs8L1TPq4F9FGKFG8OU7GSCBCmI3XlVJoHeJImrwlMMnDnY6Sbyz41ClrONVRXKbUvGwwOnH3Hp
eO+HtTvbKAG8MD0Vo8vBIO387Foz53BHqfk8SnDieVu/eklSPRskxF0NSV2DmGOh570lSpDGGPMr
mj9JSPLbJ/KElNiFeSJzzhIe4fWtD/h3MzW+JocFfzasZu1NKwe2TLXyc0HC3WCVHW7RRPhoq4w6
us5jL+ytZ6WtDcUvirLd1AbxCxFxybQxSTGo8MMTYfApxg78StJk4h+MznQPKCUnPsUcDSdrjpjX
pszOh10HiOMYUqQY76bc1pdpILxqV4Ir/NrLHPlbjh2XvWOemDf5DJEAdalpG9B/uO8t+GBkA9iQ
0fcrs3yVtgKjNy8pmxT5Koxv1fiYBKr/7PLZED2j23qOMzqhYPuC6r1QgTVvLOo03V6KrJyo6VCz
XqeQgewVjWSMhI0JpXaFO8Do8ZbNRfpqdmY6vfl9l742SBz3AZCNFxmLal9i+hwIuq1aUdE55oNC
puY4s638kLSFzpfeDnOOX+1i0fbBjQxFmuy43db/1itj+g5crVMn18gIS1y1UF2KddzG44/GBuGc
xak/vZTQcJwT3mMdHtoCcAHhrwA16b21lvc0mkGqtnwKXFArTMlN/4yyyrX2FKAJPWlBGQOckH0q
4q3Byh9/prdUSn+DMKcEII6Iq/Fs/zqqqZw5fFtljdIhSLN9MuUjTFez6pKtR4vvfgoabz5qJdrm
ie6SxhAY1L54MbBXJue5a5W6YABLaFeCnbll8vLzA6m2NBwQLpfjCe3nVAjQ3UOb0Ja3LJOSyoIo
QJWQd0CL3AEJYzwU923RzGJb694kQKOFiAP5vF2iTjim1cSzsRKLa9fSodp6mNCA+nTyiZzm0Lgk
Kd6YLXnIXrXnjsP+MxrGoNkxPIgDnO12jopt3eO7vvhjSFCD7EUdflXUafVOmDGEUSnjWB79Mqzq
vUXS0XiJYb6gHLIM0skiKiIE4JiyHL8b7LDcL4K5OV13ujLkiVSEWSD/hs73oLRZxq9l7jkTspgi
HqNPSpJgc7b6glB4UYpIbxt6F8nS5oEijIqWZA2lQVkdCBrQhC65EkPvmvqyBIFZJY31lHdukFym
zpIIjNjN5OFuKgDkwQqeDUx4ftTwaoJVqqOXcUj7b3NMPPPXsRA9YePupLLDiCHQvY5jrqYCOTTH
KMLJhlDt2AcX9gXSPcKYZKpdsUoc39U3tp4yfudgMM+uPFLg52ejqeKllcSM0TxGWgqTogrbKGYh
i4VChzuN1Z4vdCaVuf/hDr0BCTbOsuBq4WabNuNkZzHMUZbPkxWMiX2t/bJVW3oX83hikgpQRaWY
eDra3zoxPucu1civQuix+tKOeJr2ZP443teCHGixaerQp88EMbDjBR/tN8TiuCoJYwpn3MARRBSF
LHzKHMNBvq+Iu97ArwGuGdKujwvSbBPTTi7JZCR++Wr2eoigR2ez8ta03Ajk2/Y1UaGEZFRR1KPu
UeNc7xxzkDGOdBoK1dhsElLJkCtOBpZNTPujcJIbFQWu079TV2wegCKVBlnFIunzPZtXCWCTETOa
9x1B3sWV0DGdrFirRbntara1q8yuUdygJIVar8cQDRdXn+tN2VB3WqWWW++AsCTFPmwnyKvsnP1w
R83YeshRfItrQ9l7g2R4XLfCIiHUGcJDDpDuuQ10fgjQZYISyOJq489i2g6+29PoKGu65LDLibEH
unCmKcnBoeaRfO9T9FkH8pnVJ75l0ERZb59athfkIRrhqwcjdZtTjfa+6Y4g9E2zNBD3SV+M7wjm
HQTSszUA1mk6/UaUhFXfTCigNxFdwPuRtepuLoR74xBZSSY9tZ+J+pUbXH2jj14ngP63ZO8UcJEz
J9mlUtpPrjDqpUPetyeRBDKEtOIVVw7IyrpbdrB4uJAuf45QsgM3j/qiXkWqY6GPJ+0ezVSG30B4
YKmK4yRYA6AidDtOEh4lAjzrDVRH7l5wtBtbo4Q6Q2/C7E7a1sYmcVnJV0ntJDU0xHjke3crzzvi
yoLsMHkziicPFNGbY6T6c1L3GD9JsXTegYgtOVlWCng9EzBmSf6gr4lyM99kdjs9OxrUky+Bymam
PdxkUWx+magzfG1GO3knZq07FY1K7sYsQSBulvU+1JZYXADWGqZwuWYHlAfrFj3zSFk3qk9I4NRL
ORBZuUr8JH5pZ0PtkhiXM1r4J8ylBXlkY7U29JDdlSKUu9Zqw70E2LDL00C8zXg8DgawWNbEpqFS
5pKrlbvJJ0zyCh33YBUFcAZrpA3gVdfSsWdGJ6LQTRSSebq3pZ9+o3JnPihbuUi+EUw/gRP02Nn6
gW7B0aeGQbQb+AL6f32yGVNwEGvOrFTNp2pqj4WR6yt9Lz2yhdIITAykt+AoBZYG3/OH1660zD36
ZAPPYdxgHHQipk6gr2cSBI2L29Ovw7FvIpyL3AfIIKAWHCU3aFjC77LJs9euHYboyOuHYL1Gc/xA
/kJ8A+EjDgjHNsVnLUR+P8Tp8M3SC/ibPaomeNSIS70B72s/2Gk3O3fwF1DM5PNs3qs8C8RaM/lf
uD7RUEDndrW0JjL+RrPqiSzroZPzc7sAmCBxbFXgvBZIhKLDvJw9zrBFrZnujhASSaFV1QxNZ86a
u0XWV2W73JiRb+eOgvG0oiFHwQbqGodadFUmfwReomxe9CIefZgqyvp7RN/gM1AvU0+KY2cCQibs
THj0p1lQCJlMxmK8nxYUSJMrrtSniqHvdQE/DD9W57CQccVtOwlk+AbnjinPVWRG7bHvSWce4FmP
ODsxVucjjTSNdIIbAQIMBoravoz8d95VrW4HVCzNDhM9nSvTaAQnFcQm8lyWnU3i+cctjBFh4Ihu
h2wybwSdLRItUvyx+pRItL57KN9LNK1K+fcZTGWzQ1TDJw503RgPTiQ4Lqwin9CKiCgWD+EKiX4B
rIVVHFXzcpWyhYnGdk0ys256zPz5NgwaTNlR4LGWZoWXzM+FDoQ8S5WI7ntP+kj25BmIbjaSKBzn
7WflrwyhfF5ImFbqVg0VHdGff/7zaXl2z2+G+GOOLPhZUKBz4BGPVMOaXWMtMkTkYRQIgJyM7WU0
2bBv2wwF7IYHackz6gEKBwJ/qQGi2+CT0gL17cvQ+mzSycsZplvajIE8peiAzQMd99A6kqci5Tln
O56+JNIYp2yNNT5wn31v5og3KLl8enbaqtwoK8v7H60qOfNski7HurRy6bACfPaKJT2hFiWa0V2X
ftR4YjDnxU3MM7cOuEGL+FQzTr+FSTrjXNVNXA5sQVVoHAqyVu1V6gTE9vStV9q3uO+E3AOuawpS
hEcCn+BytsGOJPqMgIFImA8ZNZs4BqYe1/FeiDTv9wVRndmPuY3xV82lmPs177c3P0YYCfKD9nug
fPPQUgIqhgwIBu2kqUOr2aXIM31LvGV5k+Y/6ogT9DbSCZF72xzRekV5oW05rwaVLp7Z7rT9gxt2
nDkHm2IzJpfahQokfc7ZVjck7oHsByc6gxTx+huoJgHhlKWRtMbWpGXj34eC2fCW1HBO2Q15tpxh
80q0xBTPA6LMdWzBV1lD3crmZ3PEsvLQRQoWqYbaKuBwldy2Pbr8tE/jYtybQ0yUJqi8KiY0YCJ2
MJpD/M+2Sg2CYzMxTZtIukO4jgOzjvWmoUaFT8h1CB6Pfbu0z3M51/3DaFWGcRk7M1wWr4SmJE+n
sD6LVun6BmpiOj4llU9k3dp3p356J4OSuwhBZvIq943BU00zj1LgJgdotAhREGobzi6uh8k/k7RF
Ja0s5/Q0SPIvWHAnPFmiMKa17Vv+TQCEIESgm5H60igaTTfDFDMmMTNFMx/Tdu9KEA/73MYR+U1R
fWf6JFkvP7DN5kUhR2DmRgC3FvaLJykZncZyqZBkgurEAY5YRBhrbbEUVVMRQKwK9Zi/55yr9FrW
AaobIjrIoFg1RBuPf9Gu+q0SuhSPFu+F6wcuJn36or8WxywxWmypRve4AD3qLTB4mRLum0m5czE4
JT+rVf/bXvorBzeQAeqOf+8u/BNU4eG1yV/b9+T78Fr+0mP6+YN/6zGZApoCNmXKmL7Ha2xZf7dw
myZf3d+aSp74g3FINRAUNTg5+j7/8GwHf9AhgQ5uM8V6dHOD/6Sp9OvocQIvZAMYCmLxlnYEXdZf
R09KsDqF9NG7o9Zox1j/qZ6t7LCQD2EaEJD4pyfyL/otpv+rYcihvo2uybNYLGmX4Z75jdfQZbkj
4jiMr3B2uxBQUlvb2aPNC5mtZmKspnbd8Iyu2RjZM3hCzscvZjjVHPIautF36CFQeq4LamNvaRTT
oTGNKImZ83P94DtzSP5Ey88SKWISLw+1OqqeEqLUGrhKSyYEgQuc+mCmB95L5AeVhMyQztanES3M
qNcpc/6Pxi21aa6zsoVhlM+ii1ZJNim1quk7tPC8gJA9V+xcLHLhPAzEGxEM6Rxi5ev9d8MCa0IZ
ccakSukSqIxcB4XDhk4Db612YR2047GTVpLCWiCMxKj2DRhn0C1sdafQMK6zplyWWUv2mQMsk76g
gtFJPK/qovuxpu4f2DhJTa8jZQ5jHcK5qgSxpyhPHdlrKrYTDTVsTgNVE9+AuJ6cAzi6wN12pY+Z
E11REKzY6rdPiNEi5uuRtuC2bUb2clUBk3WVtVhEV0AHLHZQ2BrNa6Lc8VM7JxlHBxB0E+HEXA5F
LvagsCQ2Fo7EgvFyP3qS4LL4LWZjCPWU4cI62pRS9Kbj9iPiU0rFf/DnFdZqEaUZAQFpKnbZEIbT
+yxT8Bi9ILzaMbPM27r8MgPQN8ja3eB5WbobwaBdYV8DbFc8TzZa6BY1nwORykGkoX+fYhvl0D8u
tEDopliwssm2d1YZsOHEVcs/l2SHce2amq2dBT/8abYow62zHIT7yi/t0EIp3ury7JrTeMUDJOyV
Q6DaxMNP2Z/yu9HSIFqE7JX3tGEGvtsn7WtiCpqx0cvja+Bt6mYuDnONLvV7HozeIt4JKJsGZqCf
KOJ0eDtitgbvuZWVz+RsNOmZLFhijcpFWSG1p+4hdWSIgUPNho4vm5snrh27bDc10Z2pR749lP/t
0xgtx1+UwKrasUvPUx7pIjOOtWyf2rJilNAxdufHn5u6BKeAf0zcxd1Z1Uhe90o3fPjcraCpIZpn
5+gOOjG/kQhcpDvTMFzvK40+bA1zMTLExDKIcgoj/hGo3fCehdKQh0Zr6XyGxzA16wymefbOy11M
31xyrezlvAQDrXX8rWjY/o9bVJlJE2IBznXf+WcT7Xlcg+zTI3c2/5yF/ncJ+6slDKsk8/F/vYSB
Qnn7/v7L4vXzR/4ff8T/QywUEZ+VyRMsSv9YvPzwj0WZAAnDBnj2C3/Es/5gwkdRwNqHqoBW3j/W
Moe1zHFcnwMHgAvWxP9kLfvdlokG3g8c4UP9AzFEiMRvfUKtwOkDVI0Pqcsyc/U8PTZfSiDZz1Cs
fXo//uwYMdqpnPbnj+BnRy9kCv6mqVEHmO/jEu3cFnUcM+sXbJkLH87TIAHZicNgaLKDAI+VYH8p
+ta4REHMZBggAeKoAf/VcNY0Qye19csUguDKKnB9xY/NNKv47U/fzL9aSpcu5J9a+zaKXDRKAYKo
ZUkVv9NWCIoy3djznT20aPzQAcXH4JjLnrKpngipoGIMDbPZoy8wsNS4XWaqJ8X8aFNHq0t6ehRM
lPEVXZWt7uwSVOdBWYM/bP/9jVooG369VXYZgux4CCkCngCnqd82GWAtkM7ZaADKBoAyNeRSWPUp
72GDIJ6umcqDDQePmazZtg5IDLvpiSwmv6YMzmEf23u8iTS69XBP+RiHCN2IzWwmYke7zNxi16Ta
rZpZPXrRTKB46HRnVKDzDZV3ogvtbqxeIk1qH2YWDQuhjszbwIGaMJt1uSvnakmAnu03eDVyo1Kv
3dddW2CpMML0ZjJimtt1/CiTCOXXrAs8hn5+aUm1P+CSbx9BKQWfhpn11G1lfwUjWt9PdLJu4jEM
jwUkKBIpKowuKlXmqsqGeYmDN1/GeB4ollHuvp3MKj9RBY63Ib0BvGBBCjLaHILPSqrwwaOCdV/r
wjsahp9cB59Y2pVRZ9V2HqbsEskh/oSAhmw/eu/bqC+DXYRX5IVA64nhgbOF6op7bnUdPqHrqZ/C
usv2HEsNmp11dDDqwH6YCCbZzstmBZUoZywoMjSce698SDgI4pYf/WYX1b77VkdVipqWtMm6cNWD
Q9dhM+ja3tP/w7pH+4h1qrG/13Dw38ySZTGdImMTGBp0YGeotwgg+AFN1XgkuZNaXmdW8w0Ic72P
x7E8ukTZrHh9GsoPbEJZBeL4vl/ClLaK0i1lG/AFRKBbNwDnvDXcl9qH2NIF3/PZ/VQblOKnruzv
XNjD27q2UN+3TfbY5k215Xmmt1jAor09U+pf2+AHNrH03EcA5cW7l3uke4NPD9eFogYBsii5th2W
KY9oyr0jW5lCopfN2QHRBHSFMipxDmJlg5XY4nzI33To95dGW+grVejicQRlEiVeeMROTnGORC9o
hpKaX+uIA2GZ4dfWFF62lnMZ3nrEYrKTaRy6sWOC8nToic2RhDm8NXrO0WRERNaumACxwhKRaK/G
1ldfEBUPu4i0roMdF9lXmlDhnVeJoV7bobnxJss6tA1O6Yb2w7NsqnRYTbISdb4mdoSCzsPQmn6s
dqFCqljTiP/cGaa+Ch1YqMErwkeyYXRRqGBG3maz/gwGn4YAmGe2cERVODLGSSbNd+ptzzO1FTA2
8wTqRVvE4wHVkL43QMBtu2RJVW3xo7Srjmj7Dlh1Abcf3bdJkMSHTMlnuwnArdnag99byU5xiZqC
TeIHZ0nVu7jTwWweCKCrnU1DTihNHlT9QNXsmUJuYc97yXuiyL3o+52OUgaACjKzpbWc63eD7ly9
x+U4YKho6HLtrXKy5CUx2E5/D3yrImIyc7Hf4msVTC9mTRnEnpjd3qw8meznweVWNhBV6cWuNL7Q
kjK77COer5rb/gSqn13nFpkhYjn4dGypf6raqrpE1DA6/qJcBgLAAacC4QNmu6OUZX1WKeUJVD+Z
7xx6Z5gTMkmdLuUYQaWsoXc8g6GhxIMOwrotKsou76E5t9jfImdoMu8aAQey+xPrgs1qZ6ogF8kr
lUfb/g4ABvn0BtM1ZZ4c8mqzw09FBlPskMxVbkRmAm8YiBnNqejxxY979ABxE1O0X8ocsP67ZL6x
gnnsPnc1XFP8WxSFM4KTqTx99Sl7RwAPFHUl4c5Ju24To7NZkfCogRCPgxHfnEwDkpax3DTp3ip6
bkJ3nVw8/sIco03telF2coakqm96TS76qh5t/lKMEIdKGQ06xBhV70qGz8//wDrukg+c1fqVIq/H
h0pNWLghuJDg2OW1lMdilmiLbqxMj8YdbYieihi4/4alPXJ0XPbblhjgcWuZSzBMZ8cNaYzk1S6F
bt9JxCWU5L2cKY3H+QnyCx9wRNBNRUs6ubjCaImnNcZR6n2pKNz+sfOiBXvLhptLjCzGHGYgIoUz
meyQqty1hfBfbsIIOO09CmM+YKjp2R7Ihaa+xtYCYQ9pPov0ZcBQwIf9KdqKp4GSY6QsELYZRfrn
qhr5MTojlNVhDmXjfh7RwC2eiKWAGtSzeumVmux1HbGd+OrXnEaB18cKKd92rBz051T+sOkaG5oL
fALqcj3wqBZHRH7KqbmixUFfHpD4kMsh67d+ruJy7XadjtcGg9Q4OslMhcufespm0KQYUihvVIUo
o+3HTdUu2T+u04E2JQSiyIyL1diEHNlWLfh2GEdpdrAyX3UbR9UJZGR8aBnRCCQ9sxZSJcgc+puc
gdYc/nkVI215eK0VdtxbHwo3L+dAu/RgYKEGxV0LqtTU5qlRjpxWCCVqVfGMr7alIPpTG2VTERH0
rSb+jh1C4ucYHjbQ20zH7rc4fMEKZ2EPIniKK9RPK7ZadvU2tNPy+Be61i3eY/I8IcjmghK25NdR
u80d2PklU2RuJfzNMiRW5bMz9V2ym23N4Bxsj25grsqJyHI8egwidh+VdZvQAAMUEDsM/yx1efYj
M6V7EpPpFydH99hlN0Y2teYBUgTiu5G0rvyUur4U6HWY775rN1KvpUeHeT7MbsZ0YtQ27IiYzswW
vIFCPdKbreEFxSt+Wl2uess9hdaovFWAr2hbjsnUf6N7Qp/b4PKcaatZfu7LrpUXhkpL4pthxggY
eUcMlDZAusCmq0FtPa8rYbRZ3Qzg2BO3sXY66B2+cug5sQk56jFOvnWVlF/Bw1jf4wy47DoLZ0VN
FKtWgEE08eK1VXR0zoX2OhQ6YM5f8LXJDUqy26or7UMQy2xbLmmYxUcwpnatsHi06H7cwDFXW/yO
3rqopAMNCXvwHc2/9lLGjnieKju5art3NxFltR+1Leg0N6j8d16rJK0el9iIlWozSkMZ/stvFLL6
aBOVSI7ztA4OWRo1+3RsBmZ8u5vPLHjmTrGBNVYaVWILGDs27uUSPYqnK1+bvTG7q6YPchDtpjNu
wPbi4k6Cb2nutF8NyC75ATmfdxYYQ/0zeQziXJuJMR2gsA333En2itZIP5VFRu7amFdsii2iOfhg
dUL6wOhPa/MjdVU5LhXmwvHoL5CDuirtnowGzvKVgTEqOfiyayR9sgQkSsbfis9gBsMzjNPmzlyy
YUfPIma0KF2/22Rh2j9oevbiRI9B8nvqobn4AW/bxi2FN51rGH7TutK1d8O8YUQIYLPomGoWU5zi
A6+FsyTeVkv2bd4LtG6WM8gv7Otnqi+10+7gyXh3w1TVazAVwTZpArUfpTfoNRwq5DDwVSPM+06Q
0fbr85G+S455N/WtHpWvtJOjtwT6CgwOFyww1ZZhqZM1/Gn/Mtu5vASC13OtlnzgoMeWsdZD7NwR
x8FKpIVXvwxCEtbhjyP/j5ls2Hm6RYHg9qyefAcuYLLJcYp11aZyT3vBQTcYYLrGLKMeY6cdjp1P
5WgUTfTF6t1veTct0i7eUGpS5EVt4dA2j2KJUfaWQOUggXC1joe235MIFrO+0NWVHynMhaeeJir3
MzQY0ppFsAQ3cxhzv/ZD739xUyDlmLaWpGc5CO+NagpSxUq60alnakT5h/L3brRqsqLdj9xoGGnj
FT9QdqpNpe5INoaUz8LQrr3Gb9il2N3QgEfi7QWPgd8NWFhypFwoMnyqufwKRobALojdzc7t5LBJ
+4yzM6L/C6cK9WbVhj7gIyQ6waZ3j0ZvscQmYkvtQP0IMkNsSs+EwFT8X/bOZMluHcuyv1JWc6YR
7EAOanJ77/tGPqFJcol9DwIkv74Wr0dVlF5Yvqic5yQt7YWk24HAwTl7r12n8YvB1Hgtcx2SEVxj
RG/AUDCdNlazgz1+JDCxvHakVfpMe2V68Psov2IFrwStns4oGj1KYlqEzXwpJtRJGyMRPpA8id6l
ToGxzf4Y0dDr6CJuoAARMZ6EpI1TvJGnVE8cAewuk/ghAtRCTGBJK8fx6N0CbYr6jR8my71wKfiF
i3NzN2Qm8HeLxoy0jc5Z6DC2o++Ly31hjSnrv01Vle4NXQE0lnVMeU5qqX3rMNnZdWZydpyHmPt7
O1q4/OnwdgEURXBwkE6btK57s6tT6TzD5fhwOeF+AtEv/GNQBs8WxnqHylTHp8Iz88mjgbxAacBM
6WUkVmwA/Y7escMwuOyVAlbpFMr7VZLENu30OZG+R37m38SE1SM4rJJb5xxkH6+Z9mpNt0c6Uj6t
zdu3MkXNt53nqN3yWCnniJ46OWLZF4a0Xts5BWlUnriy1Jf54k0XmZk4xkBBLgdj/OmSCzSVhJJQ
dewww3zcIb366AukvtySk7jh2tGRGuPQwDjA+A6DDUQc6qIpcp2LWQijSQAgPXLbWmqAl7NC0BfT
cSJIhsg76XrjuOEe/uZK3ey9xG/gipKJQdmCcjGrKEe3dkzNsrGtWaJ9xUzxMHiO3XK5n4anvCjD
+eg5QfHJOeavFnQhHoMK9kSkpQLSMYB4KoUanoawbpsHvL7j95xf42fqLAMH0+QnM5f9GDmTx+Fm
tk5LdoTcWLkN6wkRV/QcBDH1h8GoGhxTb4Qy07qpoj/eak+cWso1vSWWETic73f5Mc99D0QSPKvg
qjfIKzaVXXQ5WTSU4nvHQLk/KMaSkkOl9KZr2Flueh0NgRs/e9IKWhAKJqtOGblx8raCnqFQ3ZJS
0B9nZKVIF0VddlfEP40aCXjMdFju0Ynh1luWrGqvpAQRqLfMd+3lvis6F5AlRRxvzRpoChz9KigQ
O8FqxOxmB47VwZwdW2eMToiCZ/KtRWj65LUMEpA6bOwNmucKVXP9iuM58k9enbYW+Tf90HTbXjd+
au9CeDfyaLPe3J86lfawC9WYjbtqCoYfLuS2bt/V3gyPq+td1fyg7OsDSqk5qUOImgPWnAuzWE58
mdjge3BaG1G3z7Io6gRn+9C5H7VLhyMlLbRdwU2+J4tnGUcwtmtT5JW7QXJQ5vUuyjDJkApR1Mt3
DJVJvOs80CzXI/dKedvU1gTHLQ+j6h3PsU8CkHbjwn6if+8pH1CNmLwjsuBWcTsJdfWWpWFpUxmP
9LrJrq39AwJ5r96DRGOPTsppCTYTiCtzAi+zHD2EqBBrGkDe23ZU6onwOKN2hZ1EXFy5lUofF3qJ
iu7gI/tpHurU+OOFMn5z50WVmTdyKQYa9ThgM/z3xL4AlDXzvC39qfmmgsF8CjQOv1nkCDaruO92
xeBV23R0fKg5JAEMh04EbPwJSWCfNGuptta1nsESDIF5YtbfzKrV5SUih/T7mjj6XPgD44w8d/Mt
3wIiw9i2fpe19xjzdZMjEec/msiergblVAfZZxHQN1tEz37fi+xiySML2KdM4LLqvgqejQxz1n0Z
TjvbDqpLEuHHAAJO1kc7QoSWY0fX7gLB/kJnxw/umgxixJY4IosQv9aST5ZvIxaNC0B4JzT8Yb4Z
gzn6cK0UzXWa2s+66IaHOEvjd6yYC07L0vd3o5XE96MHfKrceENGCc0X3kJ1sLM9G8NwTTeB8EO/
g/bJCL0j0nhhBW0y5pAvXT6l0R5kkPkoO7+eSbod3/3IQxiMKvx7RnWyglGCKTzBhqr5ikgG3he1
H71Zpm2fYBoxZ8xF5nD+O72YN/gH5scMmzinFeDMYNMwOrsHqpLewE0GxVAm4oj9O4G8bHeCnlPQ
PsLjJBaqALNWEbswOhdtV0/jBcTi8sXLCvUKWSufHhYBvHPbke4wMGdrR26CuCSu3MbzngJD82lb
CO1+Yv9tbgq7r27BvY/v7lxWpIRyGzwWsU1YjwDHYOoelbfnTpw+dDPbgOQi0zxEKfOlPX0R57lN
MlTfIXCRvQf6DaUz5/tFEUbJd1PYZb1P8OcP4PmX6hQ1Kn2aEzz9YKw5nPPR62lVCoIudmxI40fJ
yTLt4bGYZFthQpK72kuh08CAeWkTNoAgDoIrFuvwyykb8+q3RbtB/5obxItzqVFedv2PgTc3H5hg
NZeC8+x7K+Ym21azBOdWFsnvKPFGGq+Egaw6UbIDAGlk1Z5MWfwDoCoYx7UCyRnLLZ0fgljMjBLi
Hh25GRf7Gv7LADXL4x6+C+n1mEPBuD5AjQKc7JoaCM4rIcKsI9q03i3wJJNf4nMp2RDTNn6H0dnM
RMZk9u8EueN2bjjUfMDfXBUC7Skaewtxr7AP+7tMJMLC7NGVqK1xJKqt7idOSNdNXpiEcxFvhXtU
dHisPWcxk0rHjxlc9M580Y3NwKB1HAug1lVBr1NH01UBMOXe0UkDG3Ii/ZadYPGPLO1a7Pw004jP
gP4yakVHTO7p8o59pT2SEiCoMSan+RQMpcnTs5nH6kQbQUuXfB54JgnpQODf6X3K8KWqfYfMVWbb
2WVihscmpJce5KvzpQ6X5NLmbTzFHn881jgHuYvmAa1U5janwbPbHVBej+4PUsD42oJoWP2OgDFf
STi8N52GIL2lkgXPkozsQbkFz+qofeXyRZJwm3B3kLSs5w7Fw0YhhP0w7fTaRvFCb9AEELmAPcCB
mBN6yvZURPtOKxv8ukyjxyqLlng30qICZsL5RWht2E9vgTLT0SO4KFtvCDBmbF6fzw/LpeXJ/76M
Dpl6siNMJaKMofjNnauSvkW9sYwY7nyZrRGp3VIPDM6hi1hUFp9F6gc2CgQsEhvXzXH3Jq6yr+Ol
cRT8nap9pfeVzhcuE4VtoSri0rEHNPWeXTjga5ujNQLS0sHCgqdKLGikhihB/b7rOA+xCIuPiH9m
3JHayX8BbVD81n0sCZYbVX/lNEKpLf51EZ64FcjmwplC2e8BOCckzcVN96hD+rYbgbSWbagJZv8A
Gg+wgE8jje97apFIzyTNHKRwk/ktXbxIPyN0qL45OQXGUSSLx02PZjIEqnEJIgOTK2CqwRbgHuyx
DtHAgbqUeyZZuXtwycWgTzc20S1VFMmKXNYZxtEW/WXgij6zpFp/05QO/6rbw6VCThly0lkmdym0
+pyLXFfBK9+FWcKfYRfV4g7UdTwcbJvELbwauVltjD2+StiETK7HTBp/W3o53MI4qng+yaLkmC98
GownVpPmso0xzOzGfKpRuJZAOBBwIlEbXoKl7R6pBNr5pmmi3ntA/zi59HwXZ7yKE1/F33icGEvO
rYsyg4cChmfEmBAXGkk4zn0AIKTZmVjLmrE+lbt1BxKVdvgEDrXB+RGP1VWs0dY+jlgLNMoUV8X6
KPhoe6ubQ3OLh0hZNfajAXTrlK/WOJbUEN3MvZrMz8QXuTquUuTkEANa7a5Y19WH4bbz0kktLfLI
lqVJt6a1Yj4k/aDyiK4bkduiAtVeJ/Crm1ekei2U0yjsrWc6EppGRFEKqY/GhoCF5q7rsydLQtC8
j3FWO7d+Q7LbsYLC397PMXwpHvHaFSfoF25yWTWeHV7gp7OGS8ZPYqL4wl/wxHmTdcTpBXVwhxYU
U28G18O+gbYiqv3kcvKzeu142U3RMuJEjVvTvjTCZ3qhR2H9nJ04yo9s0xVlUkwS3bEnPK1lDMD1
ditLltiV0sKwpZM7/6icQmNklZZCj4p5ois2njPFFzpMeaWsl82wl3IeJm7Ci2Xv06WLDdJlF60D
pYyJEJ1s0PF7800/Lot9HzG3crE2jMp9biilK+TOEMIaIg3CNMBt0Ucdj1TRmpcx0pX3k/EhXd60
0wlN/sma3yC1WfFOB1H83XLG4CMt2krgcxwDfVgNI8EuGaaY62xlBx/JqvkgqUYKczlFdvuZa6Oa
k6kT98G4XIROtB/UyBvqw7XvN3XutQkH9zpJfdSxvP+8PCVW7KfHPFjMcxpgp+YQg3nxOPdhkrLg
cChsEodAiy0RZsH9QpzZyxROybRf+LbHC37Ptc0Z6qLZIeTy87tsdhsieDPgKcfFpRm5CVRB/jE2
yFDRbHMS8ooHt7Yz/lrAHwoYC1l3LaDseV8CuB/uuJnUKcIvsmofa7yIyuWaF7Zs6iiP2+TNLHSG
JDmdggNhbhEl32ZIqazrsJXuz45Tq74PnVw/dqZnVsUIYkD6VRfhbeOBa9n3cxufVB421WnGdWGd
7JYLO01XU6mt6RiN/aapC7kJHcDaJnWZXG+hanc8lYLByVqKd+FHE1rJTHfGUuTw+INtl6+5oBt1
QR++S3ZDIFu9DfAvsj9I0x87xqrP2JeS7FYon9bqlrOeSXW6oC3auQ20mj3tZer6LCS3GJxZZCza
ol4SpBvPa7L5sy8zOg88m40NFcaZ9LWy4vrJjYei+DCxS/8MIxd4ta2KGOOs1qgATpewZ3zfmyaO
x/jSjzFWwQJl8vVOIkXtXowwpTgqbNIs7fugZkJLTJu0263nDoJ8dcfK4q0eNTqTLXaKqsKJ2Bcu
MWXK5KjDdlRFQfqe5bhkq01OHEX/0qtSxr/IZXRo1HVcFbtpl/t27z3KDhQp3YKRRA26cNOsTxQj
nYsMwc/yKwc3q9w3XU2m+mZyXMjahPoV6QWjoCW66aC3AOcKcSaizhsHtU3syn6MkyXlTkt6Is4Z
bt2cBZNu3A2uDskOBUAn2zQeeQlbWEHJN5JBqZUDnu0ZWDwuPzwUoujvQz8KMUzbGnOVyMsCsuzE
LcQt9Y7Myh5ZOt2FDQunu6p17SU7OXeDgmhXloSezNw/HSfGTcKlt/7JFTWH4pc0sbqKwq7JP9Es
T+mdVj4GhyPW8GhCzm7Xxnrq0BmicagmfTdq4FhX2din6S1aDdR4NSV2vcFISUK6O+qq2VkhbmS8
YMt0bVsNNRnqBl6laSvrYkKazuTaJQFuOVRWJ/3HIJMTUxpRpNxAddqF7LJgB7ZDH5iIkT/Xkj2I
McTpvBvrxdaZ/AGBLf2VZsT3bG3HX4jkniNn3Mkh1MMxRma+3FQJEQSXaBFAK4ErLvnSiWL3Loq6
am7nrvV+oABq2p2P+O+e24qS1y73hAebgIh2t3T9/LukE5lsI6je9/mcO4TUl5hQMOEa6mYaGN68
nfoh79D4p2ur1VOh2ins3XckqQp1CfK9PYQ85+ZAP4tmjSjpAhIqOH6rHKDJjFvKMECEx4axaZZ1
3EKctCgvQqEWvbcbcOVr8lX4q0Hn9pjAeL+QAxGX5Ol4ybNvRWXDNJaImw503j4hp+NCB4Rm4XKx
U4CKSSE2JpjEsmFmkzb3U5B0XKzj0n3wB9q9N7ZQITelspiuHfywDbP8PvsJ6RiaLpdb+TMRUr00
aJsgdamqfUway2e2gm3sOMAG6XF76YQAcIsSajf4MvEQDXTO+0Ba2JtLqOGnK4kA2bjkC+gD7kSS
Z/jsuzUrsNkafKo3jqm4LwPl0mQqTlxsuIEVV54/dqcO8sMlwy2yZIrBGp2dYJm3J0WkBd52WxrU
67YlLzmZ3HrnOagRDjGqIe6Bg50E2wUD43PEfO+iaJmrbhn5uOVFVxbFTTWQ77NWVMMrE6t1/EMv
AVETl6bKbyNa2CBKqdljaJwjFjcNwTLVJKgE6bDFB+lnzzZKqlMrhqVFcDjM9Euk98glodkiKShP
uNb72z5zw+8Y5+6rRvUsILJCo1e+JutHpTuU+DFR6OUCgow8No8emJ0d21q4/SUVn6BwblK6H7VM
nXI/6x6TBbjjodv0otI/BfyEYES6MDAx8Bt77FniPl3EhNovENL6ma468E0TQd0v94w9zCUbVPca
xL40v6JR9uT6xqopZqaGcA8OTUOfr+FMMUl0CPwUXu0CivHHjHGUZJ1ew9cidkMHGgY61W+pdmlk
+/1d5Ddze8P9sYuhC0yZilCBLGjH2H3IxjykuVeqZIcDI4v9K+6z3E5OCCp9laOhcsL8B9UJl0g6
3LoZ8Mmg2CkOgenK8cAMk+N630LNY1hEAhzx3yClaf3uE0BvVwti16feHTQjxVEnT+CNcaHPQiGT
Izylv3DaHKUPaLoj6wMTCdZZ6wCT3ezbAlwucMTx01Vk+mzwbXmPcDbfvVbI38pr9kvCx9uFC6BN
mimT+7HA5gCn3XRHwaj2tfGrlmJFz+HWS0S7E6yzZ2acyS9MirOzCYSFUjvyi/7QzbW+NmqCMDln
7nVbqiBjSlRfNIWKf9tLKPYcY9VboP33WEHRoyfUv1WzSJGcq+AqNXb3anCOSgbYsX5s6N6+B6Ag
EJotGau7Qlt2Hy98mbpHJ7jhMTefNDjHO+VKT5147h/gxKMxwSmNrg1dxg+uRKhmG5Rod0MQyEfa
RnpTm4mpy2InzxrXYg7CYcY1MkIKoN4Y5vJIhgv6IvArjto0sumDC7/kCEEp1zu3KV5UUAvWhElu
eu+VBVa6oyUZl0l43dKif1kbteEpzYTHmqGT+hiESKE4JX5MPfLIzdJL67uTNON3vcqXNi073yns
wuuYdv24ofdc+JvRhUe8pRIiA4H6dSBrgQ5UKIc94g+N0gNNDWuQzAdhITr3i+IyLWbHAiWSSffC
cXzK3VZN9dvUWogknbHQzPOEm73PBYzw0FCANgqZFEOCmRFHS0LFdsJB9+gX0UdGbB5c2RE5zOiV
T+D/Fde3itzGfSEk0Yt5rMwHCN8SnSOZqhKxpsTFGQdJyEAnFJe6gULqNbI7AlipabSg6wgY1ifO
PfyTUB5Fbog6g0CzYrF9bnixw1A3I0hAbCNLApu0yfBuTyFW82iXk7d9WGRvM5PBrIEBWcxKbxe3
sR5xwBaXwknwLCObexJdPDp7+pBbt/ZpUdN1Su4MYs33lu7fMWG0T/MjXLYV43QBd5ncNU91ebEF
ClGXl53ND08S1SiP1jLZl5yNM9HWKQPGdYe2XyiE+aRKpD8Dgoo/mdbCG6L3SuAd3U462JZPnUS4
uNMeyzJOkm/zwB2MkZxd50TXAwggxwYeRHej+JbGe0PGdbFmucR4FYAOhKA6HEv675UAwfcjC2v/
qtJzenAjD7DExmVANoGKteJxN5NZlRzDlHiN49K75q2i4SCP+JBGQ7qBI1gXnkrulqIou2IHAi+M
X/tO9VEDYY+O+41VLLqO42244AmJKPQZa3hbqoxxXyc68w/kZ013mLVtb6NFHk0ME/jwT5nbedOD
PPMo7C84BeTdZtpkmAxerXlFV+RnjAWEIn+bglBaPXkFfsdAiKsE9QQSTKVoeNt5Q8qBNaxUjDMg
w/uiZZCzDDpjBCXwC1GHkZ/lGa6BGRbQBsYZoBtmXAEcMw8EiWFFuG/OgA7VnWkdxCgb8QhHvXwL
nFiRCJagySD/Tn/rDZQPdrLsO1RS0B+I/cCA1GckSDHP4EEICQcVMo+EYW+cM0LEEe5aCJ3RIsUZ
MzISy/kzmVLkdCApl1fPXpEkyUonmVdOCVlY3ZanJrtg6mW/jmAifncr1YQVAuDET2GdqL6S+/4M
QMmXMw2lOqNRZEws1V3Obe4SNaX/kTmioNOwElXCM1ylg5J72ywUJ3txxq/AlGx2RYMgBw0BoyFf
ikxS4ccppv28fWwpq3u2KlVj14MM4n4DOAXuJUr8xD5OGAjea0Ra7j6m1fcC8sBSt/qLFnMmxyBG
gSKznIkylLjQZaYVNDOcmTO0mZJjC0uA+3555tIkZ0ZNXwQoCaolpqfE/9A3y5G9KAJVshQcYovy
MoaWZwX0f/sN/p3fwD5b2v5zv8HN9zpjnvdn4unXX/qH4yBczW6YGwN6hyH/J8S/YH4N6n/9T0vY
Dh45xyFqlD8AVwG1/x/uOTwHIQ4a3HZrYvHwj/jhL/ecCB2KMrEGE/8XiIzwaP9Qtq+cUHCk3G3W
XFXpcP//0z7nGsYuSesG7KYG33CWJbQlt9jnIWvUZ8qGL1uK1IFTTgA+aeLhJAltiR/qM5BDB87i
7iHJiuEUE/QZ3TAQHp4w4yXLtvX7UbZEajruKrQ1dTS+8+iZ4hvZTBH9ef0P6sdcj5ymZtHwQJLR
CnlWNgjXbCgRdKmNOhFX10RUtU0y/ODW3IEWAaRGiosf9ALoSFSzndXfrWkIanZMlWtt9oAQ7OsW
W1Ra8nhi0bsbZ6cDYpIALrDvmQguiMWrJRFgTvwC0tx+iWwrLK5NTm01XAPNVdXtEnlkAw1WGkZX
emmW8besykgdWkoUvE25L3UKNm4KKNlplTZ+v4EpZKuritFScDUHneUd5ewtwYlSqvNfUV1mNhpn
WvO0lDh9Xf+qsBLXeSzmPoUWMy7x8kKX1TEPWVYu4Z0bAyS4zYJw1sfYC0L/iExaJ9/zrBn1DdfH
vHhwbbKdIRug/IVpoLIBUyFHbVnt0Jut7SoIgM4BywjqkLbkbsnB4tTdfVkz4EWoDaM5PrjTiE5v
REK5XIQ1IAbmod1IUzLExw2xtopQB4MeTXfCFFHyiIqv/zWSAZMe26TN9RUSAjNdgBItzE2PqM7r
NxbJL/lxvX2YIzjjsr0uYjcjUNFSOtoVDJ/rNYuq8a97V9CGUpGny0OmZO9fD07ToPYi+7jctIRw
2RsLovCPtKXds0dIFR7dMkqgljE4HE8OJImBFqdDcYPtOLcvQ0qePfcUOtV8vDI5liaxGebB+fLh
glJkgCzntn3ipowMF6lT+N0h7JLpR1gsPZFQxhmSYNnz6+IBa7fQA+zkJ/qqps5OXoPgh4I70j3X
ugkZB9bHgN/e5J8tCB/vaqxJmNsNMSp95nd2lIGZY4DxTfrSAls04Dq7qZ1UmQ1fllNT2zbzuHrm
mSjbS8uViwQdQcvTqqeagwRwaXrQpmo5UKuJMFv7gkSiBpkRyrKYtYOVA2+mwiDQHeSXZ9MxdDWY
W6xuztixV2snGmv5c2BOzT10Pvs/OWlWMyh43/IVvXePSRQIGI7RwaFuJb7wbCXlzoytNF0tpubL
btqt1tPYI9Kt3HInC75Voa7RIIarVTX5sq2q1cKaf9lZ6fm6l8GXzXVixvwUceCyUpFgcxlbTbGA
rTQGWSaS3r39f4yzNLp0Zy/ozfvVXKvHCdwDzJbVdTuS+5s/T5Md9ad+AbrV9WpEgDyEJhqg26TC
HbNs2Mattvi1/vto/P/LAz+fV//50Xjb9CpdT7r/8fyr7zkl++zX8Iczzz3/C//XVv5PKx46tf/w
3Ajtqycw6vgufrt/HIwy/A8pXYGBj8REh1H0Pw9GP1pt5SCvkTKvEZJEOf4XTsa/2MqD0PWc0MZV
7tIohU/Au/t/EcIoi6qmZ2773rILUDFO9PF3EzRTrtLnmOO/95j9BdntwT6IwhAzPV41x3OgOvz5
eux7whJYzl/cdCS4dBEVeuBtPxmQ+JDjEg+hVS6rqywY0Cpt4gTa8NpX99vpYzZEm122fRx4IO6Q
xNDBAwBHNirbBRLwnOfyUvrMd+/qys+zh2xBKyo2onaS6eXvP8hfvjcZBvwyoKKFTdgSnb6/fA4u
CHGHkdl5GTSIwxe/niI62B4Dn+EYTGk2//r713Psf3lFwgT42YUjQtjWtGH//OaQcqJbq2XyBpVz
5fh7tCb1Y8FAOkZ3oFH2+8rDXkCLyw6OCPdJaTGDS7wwDqgieyDgYLXBZNwav7m5YePgziG9i8oK
gJQu9OELsNEuXx4tEP6duoPySBhsQLDBKiCPD5nHXQfRipNWn5Eg+uPWrh3oPLWD5thwiSfZyR9L
EFTIoWf7MI0Wr4IIFj5/nyjeYXfmVDdxz3+ZWPki22Fzw5uymeg6FwgWSWXY8QUQw+cTC/hetgEt
L8oxMqiX3gOSkYuBdTPCCNEbTp412mNs+ZBZOPfTR6AcKDtcUlkVDSMZzPQYZeLNDGKSqF8nlkz9
M9i7hzJX/JlpDlHHJniivZOYkhVlBl2XHkbv4tcga6N37nAN8aayqfYuZtPPxVs20O68xRfdLZ8p
M9/ikFlVOr18/QqLgWm0ExVDqcvCXTfoEuME30+FUJn3gD8cPs3535+CCthSDWEeb4iUZ1RTS05I
lkLk26CzmFi9VjBMxVtn1pLE9hHmLOinnUFS6QTB+kHsERfE1zrIRc3/T7IXH2RgBDB5O3vx605s
ke07qwUuswhDz+nJe8y88kA/MtngtTrsKzQ80Q/yJfr44nN/L5JuAgt1/uaYUC3UTjRq9eNMpUCS
h9VXbBXBzERzb4/MyA9YCSAY2sayux92N+tZHTB9aLFH6lnSUa/qmYcSnAA/7FSGrLSxTCRPcSe4
39/M3NXPLj2amt6G5OyiIfO5zHn3TIP44VAk8hxXgzWxYNzR56eYW0xnvO/znkDzE3YuFFbWaoqj
arhFsE8a0RQQQJNvJSgnpknQj6pu3Du+Vk2yzZpe+PGWhlQ0fXegGqf7anJj/QFkwoOAavlx1HHt
boR1jXKcpafpCBRvlobjfQzH5OyoqdeA5vNTVoRphlKXYYhRz2AHmwxtaJkY2iU+b07qJYivqtxl
NSZTwrfZVnT/RqTJJA6+qSDGstL6Vb/8pNyzNeMtZZkXq3IrVhB1MZ1jmJguSxpUEs9eOkt2w6/0
C4F92Dt1PWCfkz8q0f1A9ow5nJYpo+ktXEvWNI10osQpOOC3bVv2OF6bHgtfooJdBgO8UXP3A/8d
zpPN1/P6j784U4xe4OdYp6BsFN2PED1bcVC5036bbcZT9cZhtMaSxd/D4retaMy2Gcqb/gOFWUDM
kS005FX8ctPLct6y4rxZt6kiWpGNvsvTNhRwrh7r8yL5+y30T3MzR88Z4+I7UnCe+hjr/txA2Vmq
0fcm+2WkejZyA7nMq+7cVYPlbf7+pf5lrwaRH3lS2K4dOjaYzj9fSlftVEad3byOFT7vS1ixer4s
Bs0iFlpm4vj3L7e+8386zNdDFcyilCGlhMsB8deX63CCVF7ftK/2iGdhr5uIPB0L52eH4m3o9DFy
s05+/v2L/sUsvr4q1Tt+djzjlC7/wpFne8hsR0XRS+8xZudRqlCPQ9WLsHnvwOlyiSFHpgHJZRN2
M++KgGkOD24BTA2iLnGRab8doJ7nv8kAZpRP33/Bw3hQiWCf+DfvdrWu//kdgTSAeAALj2iGf/lJ
INC6rF83fElKJvWXZIZ53ouFvSTffJ2Y/aKKLtnPSzGh8LZVPJ7k+eFDBWiE/jcrZMUH/fl+PGkD
4PcD3hYG0+AvxznNyQERXaJeMVzRVtkUEiw3k/Cxj9gRnSTnqB3D2SqY3NeGHRd7EglZ0Nik4Yhj
Ds5hWKaMmGuMJZ4eSKQEyc0YRYbsJxxgeianKg+R0fJa89Dvh1yO+beEJCpfsonguRzRxMwUTT4/
AvvLv/nKz0XQH9+5dCjyqGMDJwxo/fzlifMG4xfYc+Ln1sy+YTpm7Cn0fpMn1WHfYdIVl5/KRpl1
23kuu2OHEmu4NcDtOA+z3vTBhryvcRgvte7pl2yhC7G3NWXTEP6zuCr63pUe24VXL0wjtqmm02q2
hYHk9pSCEyjuQjVwEm1yKsR4Eyy6Wh7EgiL0sT7vweM4wglkL2UqbB86DzfX0bUGRmraFt09e5uW
x8Sa3QkBjxubEx1wJqVbgJ1rVeFqPNQ7utOGbTnvwaMPuD4yypGvY9XlKI2vCClsxItK3TrfczcL
yAJQAfZ6/8XTTtZVh6SWVBjYONhOw6EIrPku7tC1HqifSSC9NnRVGOi2MyIIRDTNRGGW9Uy5ngYN
QZTG/oLRlO4Xea1f/wVKsYvqa5s5JQKxzZQtRUsf1evk2GzqGMZqfQRDUQ3ZsasMvYwVo47bBBXS
3Gcp+hIV+O+z7VdW/7OT/DxM/fyC8yHQUBL3ZVTwjsHAt9/ANzM82qEyWUKbeLRSU6lj9aHJIluc
mZ6ZOOxQhfHTOqWVV59+izGHr2A962KOGaZDc8Wkn+5bjrovQIZZU1x+le2erRc+AYeGy3nrSg4K
W5bUDqIhPPDGGy1o5ieC/0B0AyZuRkpjcpxj8zJ6azCUIJuJdZ4V8LHfiT4rWecD4jwykguLw9sp
aB7edZ32fOpMrfk5rErz44ZghuMrBsBOTahQxTXkc0pyU7wtLrBXdg0Y+9Q/xWh16Bu+6pSSdCbg
o18HLQ6VhKHHuUCq/Iy3//WKrR549dEK3IsuG/NoW1tm+B42FOOnbK5Y4F91bX9+JkhbkhD9jVVa
/oNXJFZ9VYD4Y5SE/HB1p85AF/hO7ZjCwvPzdS9xB4SR5uRHw/pshzE/9K3buLqejl//NOwRG2Q9
VKa2Sw+WbWQBM+F8fZjRpcUzdgxs6GgzUI5iB1+yskqd/b/ZH9bu7p97IDfj0JM+J7O3wvr+ghsx
wpmDtIj71zYU3fTEbJHR6VhZ2EyN7db9b3W+NTBWbSg4oxB/5Q+iZ9ZfegpGNX3ARcloeQl/obtz
SKwE8jbKXnuYPiR4LvOCj5uvwIpMMb20Tc2y0UGCfXxndSyPi8EVc3AnUbChTg+kai+8DKkTs9Vs
XYfyvATYSNlXFeEJzNCiLqe2ziJdVJ857mc4flSVxU1ju/yo3Ec6zpCy7zwCiJFJiIdxhGpoXdu6
xku5q+NxPSrJOc8651hWeea2NHU7+sfHSfooFJEO1Tbj3pFHggoNxCSznZeagSU/Ylm3qe8dptIg
l7/RQH2JMjnn7Rzi0uORs2K1TvrCuKNWE7HN7vNVsdHp5slJenQyV3yNMVHefQVV67KJiVVmNM3N
n5frXZRb423BKDMsT4QScGmhYvb6ConRoHOUxqNQVBcQraswuIXhEzQlJbNSrgXtMWN8TZy8WJr6
iOYfTmo6CL6kQIE5u0sZMQZUQwUPVrQkXOmZMhfDDhF1jwVgzg3ldc5k8NZe5+VM/u3Vv2zVJdLD
r43Nr9LS23a1W5MgnANhJahCD+u7pO3OX1nSqMh/f12gGO1WiPsLX43NKcXZkf/+3+ydyXLcSpZt
f+VZzZHm7gAcwDN7k+gYZLARO5HUBCbpSuj7zoGvfwsRt9J0VVV5Lec1yVQqRUYDwP34OXuvLSYb
CUGpzFB+Whz0GWIzsBvynLNzpD+7KWDbxWtK6SaT3B6zbSUR2L/o0GniV1vabrMnfo5P5LaOHLZL
mnHZ0fsv2UueLo28DtLIDT7xLWrcymB2XbULoVsn+yLJ8WboWvMGoD6zAmJYYTkJcIw4x56Bbvbm
s/Jx2haW3LclNPn+akjcgeVPEh3Lrj4GRKmZOzeRYzJs4AHOy+tkFUh+EArG8t2iVsl2FbpRPKSm
bxQWEm8s4mhn9bKcy0tT8Lv5v9GP6tNlJ/8/5UBmPG3P7v/9h/v7VEUAhaJb4zqa9KKAQoYH/Jc8
lCTyWk7xef/qj9pnGWRWvBYVkP3XZ2XJQ8Wjdjmxm7j3zBfQD7gcCtGzRZYCEeVNAtdkfEJGxSl0
JmCvu790hjxvXNsPVcANazFwAS2eZxMLOh/K8I2kUc5TPoQ+johtbmwmADsbHFz+o821O5YvdrjG
gjRYO3hi0jTnONQ4ISeMtFb8TnG+coXlKe5+9MGd/1mLEKzGppDw7XGPnw9KYya4TYPcoASfmyWK
r+CbrO0GzBVyR48I6h9mUA5yMYc0+i7VwCYe4bjpHuwyJBXhshuQq8K2GaYRj8TlpsmER/clinv7
SYgA69/fXBxyd35bXoP15GEHPkcRHWBy+u3qzMBXGSWk9ovEQux6J3BM+F6EW1pIgv4gI73BV8Km
56b1M4anFoQIH5GFgxiN1LyuKHTnWqWd5s4z505St5C1tbv8I4l5meuwCDEjiFpbAy+1U0CAxbif
uk/ppExGKrLHRSBwgGPABCqb7921KTP6xeZpRAMXWD84e6f2dZ2MwfQq0oV/b1a76KOoRo77bTBz
0WNEpfr9csRO04hHxT1XO1GXAsZtfBRMr5e/CS2LJzLHekQTJvca86WbIWrApe9sCusyCifZbJgo
IEub+37xvhJp40ALKN1p9A9M26iE9/HAufoGuqLLz7B2hfO0USFl/FXYIr16a1rNnzEkrGUnAd4V
TQrQRYpqsJHEMGC6iKJ1Je5oqFAynFuTmNoq/nk4J/XHpVc0qIJNfx4dmiuhhF37eNlyWCbZtoqG
53yDoYfKqVaswn+2bOgEUa9v/KhZ71PyxDO2jdCmWbQL1itQ7cPeZ5cal9TLTmQ4lIj6cNZSO20d
nU8LGI0aXvQzwBF6rhsDpmNAIJNwVCQSJ+4QVOw6iQedqIe4KcsaZkY1R/SiuhZn9lAxSvojL3MP
WSuel/6m7ib6AV4CCfRbulgwgbETgAVMLGxukvU27eTJAz0lY+g/RUl3qTIh+7NsK65cqHOWvSDD
6/iAgYuvISzlerC5dA2rc4NsRkaxtvASLi+4EPjdfd3M6FnyPKpfLw21Svrs3nEwrXdmnEUclBrc
nqwQVHNrIaxyySsB5OH/ubxpqYZ11424Mtkd4alrCU4xQfPYSMrdS3W1ck7a/VQpK8M/PQ/rF96w
MUTqGE8xRW5L/EPyiMa7aOW9XcIH+MmDRIeoHryBZapqNXcQyI61YmuBYlPVF2MZrW1BtCbstXlp
cckK0vQGMtvrUSZbt7Ww88Irp8MDSCjkwracqYjNNV4nrOJtyjqeFp9YZpa4MaVW3/uVQbeyLy4H
QwVAhjsTuL9OnW8UnnE9EUUb5IJQBnv2OE1cWpptYrw5fbYdm5HENoH4TpXiReXAaiWHtU/L3reW
DoiY1AOivnZ+F41rAgyELhe9O/eOFgdhFcz7MFDJocWLxS+R5bg+dzOk7sC+ZhQhQNkTTI0tvn7N
iqwO5J7iBG6BOJcrwIS4BL218IXPPlK7h44havFpDPMCko+RcSP+5qDq/NdtDOihJyWqBVc4rv/b
QgnuOpza2J5ebQspodlkqoz1LV8/J1Mvg3iEJV333EUJBoLsp0vjHyoKjbtW9ruw6bKQkCbQreKK
TTIYXuoVMvtgNZN0r6oeEfy1KNEu9xtg3hyVMJGn9bL1uZbZW1g3XHcyeZenJU+V+lSXrlW9DV5e
+D8UM8bvA/nG6MNCdADp05BIXnDjeD3JQodOVK3aoS5KwoNXlT2KBh7f4UkJsClHinyeSms1oD7k
y6ipUs89fXccwuC7XeCu2g0+1CV2024h2GdbRWmE+eBf1/l/DU0jDI7xEgIPQI8Ia8EV/dYFmMnM
KWYOay8ksOQt88o5Ae26s4D8raEjLjvKsDbgr2kWl9r7u1df4cy/njJ8RPkurmhmRGhJtFZrZOAv
RYoIo6wEVOV8SpyceuwohWl1pq67fCCRvYd74/t1UjxW3PuzSveiK4sZ36AfBYuYUZ93vR2HLwmR
FlOExC6MrSn6aKlQa/UJh1YE+o3mDBNr9ZKGZdbqr7qgxes/JZHik354uMwap9toh/3EgxR1bnp7
2mqybxBofes9LljvnuwGo5u8QclHs3dvZ5IlpTB5Ht+auFnwucCisZ9p/lvNHaYudojET9aC5jxl
wMXDllRHtoVQcQDrl4rNDNyNKoXzD0emIKYouR8kWWQ7gFFsPION2vDOoE8ftmUHivaNKpKDzawZ
0ezddTp5hTBu3QcSAajqvW4WYEfbYUpNtTftQBRBgr4PqxcXjkzrbmFNn2iXrHls5FGxWJ4PuxMq
Bec6tGz2QhwM/CPEbfwNujk2aHwtmiKM5l/PSMCatL6R05qfx3yNHxApGfC7VTiMVvlcPRAiwOgr
77L1sL9guzZfxkJylzcxlP//XHnSKGQtlUFBbbdLI3D01wFZznS6cctS8gOi5Atzax7nHsTm0EI1
ZsleZxs5cUrWMzs4m9OYpe1ybWPwRy+H9a19SzMqPpxGneRd53ETtSi+Oyapz8Hg8JAiOydZ+RnS
TI3ch2QaitrEjdP0GDVyHlAnBHhCrwlKT92ry6oXkjCavbJjeCbcO1MysbNwc4K9ZHpZdSw9SyKk
897BtZYbfIQjFZAVD52/nXL8gE+Dz1e41ybhOLEt64gvI5KDi0C54PD+LOH6YbaNBDraSwcn82pu
HfAeGsW9ZsRdLp8vlXGlsX20VC7oL1CjrHz9N1P53G4mkCK7lmiQ0Vn0E2UwNlceYqeEJpJu6bCA
1/6CBmE9oU+Gq0u7lyCJ9Gdkr9v2QhwHY5xo4K6z6mhdeOJqUF2yn7vKCd6EZrLzM8NmzM97EFKs
53TC/bDrEw4fV5ePVdLhGJ+Kxna54Zae0q7y8GF/C3zDiB3qc0tbKAp5EA+XH0Btsf4+iGJU6e25
qnebkVo9GgbDA5FqWHUajSy/dYrXzyzQj1rPnNdK9loXZqz1fGngUBpy77oi5YG5EMrAIfNh2vOM
Ez9ISL5ij2PoutX92iAEoDw+LUJT2Nhu5+VXfVV74lb1sE+vBYjb8DhENdgRXAvcJXNveEQxrqYU
GHgdiuTxctzwUTvyJjgjLt/QrNQp49aa1KRvmRMqADxWa9nHocczc7jcCc15sjMj+g4PyD7X7i7n
bf7HXHFrc2LqXQpcYunWSqm4PEm+T14bH0zO6w9VnNU2op7PVWAXrmP6wHLWvdwGu5AdhEbFdn/p
cGIqjX1CERkbPsLNjvW7rhKxdqLOT21r0nU2e54KuYoZ7UMZBOYTLiGu5NAEPBZw3nHZoOPGl3ZD
O5SvhwQUuniXiq3FogvX7Tx/bITNuYAO/fqWukkzTmUUEXHjhRngCtKTYqnYFQVD6WlHs3jpNzCr
AJCNIm0T1Hqu8w0denGCI19jPEIIHE2l8lGbNvJqbGrvGUHXclOMUn0Q5EIeEtN0xOg66ZOtsf1+
2jJKkl8MN86aauNdU7Om2VUPYX7amTVYEvgnNRZDKCAuNKIQ5ZcR7s9tWQoIXonjG2pOyzMgZdTU
D/bnhOTDWnz1O29ab+5cPfO+Ivuoo7QihmSG1b4JS2ZK1xyjsM/T3Ab12i34WnFI0lkQrYfbumAr
nO5T3L9EzUp44CdTw7lz8CUd4hrU6J2dS2YedFBJy2s42t+TBEfmiisS+ULMoo+fN7XEBxpy97Zc
ovZlbKvmNpsMsT/9oJdt1+i1Yxf1MEw4VRV7wknoybhUiydbjOqH6DLgu4JFAJTBxPIHBChI36TX
kCTaiy6mQTXCk910kdWTAoCbw+xJ0ZT2YVQGRNyg7Ydm1tknR3XWi5f4ub9pQ7rLOeV/tDGCxQi6
ojM9Z+0wx+/E8jqwcLpFP2Fyi7vbOCHUqQKJ6z068aKKbVvZTBF6y2lPSDshNdC+qYPdwqPc7jjH
TA9FB1eWWKpuHndqmtz2ivS57EPoovrSWZOd7SIDeeNLrWtCTHqevfB+qmr8SZFN6MpHCUbuXRLR
5Vx1kOrUNT3LEDiGK/IbIYe4eSLTTuAPCezXtM3SZ6+yQh/058SEp86UF5+GaZqgLiy9AZ2St8Rb
alAe+y4wzVdgZGbfODWESYe4lJmMFny/jqoprWfbf0AxQMIXLT2oMxam0BsE6Nb1GCmvOxYkmIZX
qhuyLw0wFsx+Y7SXrmr0dsxcTgR+4uoaX7RTPFEH1kCadU3xv2OgDK2Naab3CmawJLuhr5MDyyEu
arMk4a0RBu+rO0vyyqQXhtdO24/Vk02NPe4jomi3i6Pie6srff8KJI2pb8wUyuCVm8Bj6woK8xDF
jvGuyabFuV+49Bk2WOVgNTpdhuPHwwTodWV8ymGbdtuxHtmy5WDdxqoLg6s26Giwta4ASA3R84hF
VddfMyGnhyCKPfx5c50dAzXp8rO7INXYwGrD2i/JbQpvLPzBMCMrpFY8tavXH0xbcuWZUcQPoDcy
zrptmSZbWdXTzxyZnzkgbZq2JTc7AYiR7D9qsoJvqMPzd0SG30AUOhumdWN8SNs0iHYY9sS3DGLn
KQ9HHW6mMM67bd6aoHhUgRu/kwQWs3+AjSWqANOii4z5qcEll+M4K0wGm6Qo/8izuJH7vFDVsQkI
sKoKwFZJP+s7ajGX4dSSxcmeg65ttqPX5HRy0yU6dbkNk42zINw9hvl5+8JWFF4JKwcZ4wZlGR1E
OBpItrbcF8pv7xZUIY80rvsFj6UUt9qH2YW0hxAfvnB8PdHk3tIzmw8tUYDpafHn5D0YjM65LGnx
Q1hDQR2CS1x+l7U0G9fMMUQGUCzgNBOizCrZqE+wq+oJl6aNxZiE1Xui9NqdKQISQis6ggBJIlEh
tEnn65FHxH+M4z6pr+nkuGCjkPwS2whhml89d4lK9iFI8n1oOEKDmsu5GzXEBX/vosvdTiSBHIMo
cjA6hwWDONftrnCjkR+YWfkXav4nH1d3fN15g4D65HbW50w59St6UnkjKidBQ93baylGKVVeJR4I
kLYc/behwq94M4DQibdgLoIZAjYRf9slhEmyIxpLvBU1Wd0L4TDF3i+d6ikSEvYQyqSG3BbLRc0m
8lMMIOBWxFH4I7HiCIKrnFrWOga4hw4y4Nr3kkD3csNNFBiA0m7fRbsmCvRzh0HscUhKA3qvtefg
EPpD8kHpN1HG2DBZFjkX8gbKh3e/zn64A0FaYrOyxM86C2uUQZOMH8C5Cu9Yel7+vZBh/tMCMdLd
uoAlbhnum2vaVOnnWU88OmPh+VcJsL9ko7qOqwwsndTG1BEn46Efe1Ft04KPoCUSb6hTyZAmYo/7
CR/c2B5KMgPVnRtQB78PdgftiuFmqJ8X9AvPhJdERIHVwfwuu6T65jcD632Y5+XwqYnZFVrbLZpj
CbB9pTKo2mOmW8G0G3o0MbsW6b/ifMXpbUPKYXDvNzzgeHhiOmMkR5ldBQjnSN6ZgKZbQTVElEXC
F140E38usDXQYoex7NcwNrOxOVhTw3oaEG8FO5b8wW3n2c3eNn5Sgw5rXRdNOIa5UI2+ZvSQ+uvA
2s+Ge+B8ZblD26RuqUthpHYesBsqCZ5Pzv7xz1EP5KdJmiTy2FOrfndw/ML/ypMEjoIP9FQilOio
DhH671XppIgCqCzE1sboe6Sf28BM7Gam6h4UUbVlXhTsWRpC89D1je/eGCghV6MKupfBdXERE6c2
tfeuZg+uILLtm8CHgkPJyuspAxK46G19HUUIL3foRcbqdnKNH4G8CdL+GDDCJ1zHnvsToP25vbFr
pHN3WRcv6YuaOv92BNQdHTF5SJKKR89gAY3pfk0nx1ioFwKSAe4XmJj9E5OjPnjpizymymjtpz5Q
vhVvBjj7/qkLqhQIgO3X6s0b/QGuXI0get81sd/e+GswTOfDQdxYWN0e0qLum+NICJPCUI+8bBOU
lTrYeeY/j/YwfWoohcwVuvoMKFmuGqQOU/ZMP0yam1ivt8sy2COzUHqqCOXEjkMrU+8/sjkAnYPD
oMeP5yzqzkkdq+fsdu6N/K/j6G8cR7ZnO0yD/2dZ9ccAXPmfkur5V0H1nz/7n4Jq5eAusu01tgK9
9F+MR2uAyZ+Cah38g/aKpzlhSmULBiL/dBoxtfo3BNSS3/lre0n7KxiTV/dR8wT0EX9rHuIzdXCz
CPvjT3T8WcMiWuIw9k6AyxwS4yTK8DZom/BLDEWESXvCgOiK4F0MNWBSbOvul6/qv5nLoSH665vy
eMz4rMpDN+czmZO/2Z3CDgSJyrB1po2Lld1O92Rfc7PXIpMV2CGnfNXrg0CWVXPTn5+OqBjrmPlH
LL/FuBfegrLWRwkv7XnExtvtsvOjBo5EHiYJqWVpPPG5Zk5MOPn6aA5zgCt4MeHINHB9bpHjJdOO
FtggkEREnbNlhQvukqpOPNoyFi1QwCKO+ZEYg1M37EhnLurlhe/DOgLQYo0gThv+Rdu45LOHHjmQ
hHfneO6bgAzbgNnjdKonRuubtaX62FmJjh4sOCbhOzrdMToqkPm3qQZCvEEJNQQPznnVSuJpam+S
dTEDSMS6Br6DNc6c1zsGlX11GzkeNN8iGvV1M5bWxps09eF6wo+37bpykpCb7LtZVUinDUwDqgoW
Wa803UtOzOOVXzM0vQnPC/K4rs1iaZMnLAmSxrocYQXUXsIavkCAPNqXlf28ypcLbcyNR/bZi6Yz
QEt/DNRdv24JueWwO7jnncIgmf1OvynsNhXtjfs87skVmS7bihTO2rJp7oATdBSWszVTitIZYSOq
1a113p0Y1Q/3izfH4S5nboro+byB2YhLuy3u5Ol+XDc3+A0xKAS/yYkZZ1YI9wjQDvwHBVLFOW+F
DCHBNZ83yHDdK/HtroHsVhacMhWkBH07tpdtCWX34z/oFLLN6nXHLc+brzlvxPl5U67X/Znm29Tu
ODU7MApTt3ydYaFs+nVDN5e9/bzPj+c93zvv/+pcC0BCoy6YLF93xxj62EOQwbVeJ2TjK4FaQ7+D
5kRBQcep+pauVUZ7LjhiY73RcXBu/XMpwndGWVK30zDDNg3i4mQpJ++ufEHrmhPBWsZY55KGOJic
o1A4Wd+bc71jn2sfPBDNm83o+otfE7HAsaLQ5dZDi3ynztUSF0V+T9QSJZtpLaf6RAzZXtljtavJ
EiJfIDDX+lx9BYi7QCWM9iuIllxt1DAUP6u1UMs6HzriYvWgRtIsSh5Iiqeem9bSzqxFnva5PQj4
iBkIMiHdI7nwwuuwwcUr19IQXZq3G8a+ebLWotE5149o2KglGfTVJzd0zDfrXGsyBqTuTBhsnGS5
MOtcy1JPE8bg6g4Khmtl/ickVO0pPVewGepenmvKWox4+SlcS91gLXp9Bld7rFC+PmRRVj+Jc2lc
rlUyMS7ijXDXU8NUkM4B9F24fkPSk1TjingbSLbfiWkXYMLWK7bI5JwQakBPZ6Zby3Fww+UmNg3J
M/m5Xo/N5O6KkoniPgYOQrBP4ZYH05LYu9b3nAOo9JGrszpYmZ0hrbR98u3USkzlZMDAeD4QvfsO
UMDd2okWr5w089ekd/wrs54q9Hq+8M5Hjep87IhA5FjIbzK5j5ug308O7d9NrUcyXfimVUjslC2+
RzVj5rulLHIN+0h2tPYtKjL6FWqbsHAAhzifd6bz2ScYRmvn2JM4TVFpESAl3HpHmdmCkGBSy/vF
nrAkM92TZRDblGL9du6E7tHzO9FHlnNqgoYRma2aV+CmDvDY7FG3c45BGl590K2GDtKaZDyC9bfW
/EBaleMYpRztrDpFNUYnMgo657Cytg7kj8/vRegCp6ty54caiEfKhj6Faux1q5KwcX5gkhyPc2IN
V/mckt6Q467b4T4Yv9dO09wEOo8/VxTODd4D0HTbkClRf52BBa+2nMd1uqerRLXc9NPELsk445HZ
s4KdEPunelaPqZMm78w8IRA5XsUU/nxE7gJV/NHKEYT6sGSvcxFRwKNe0U9iPV37bdHdTCkinU3X
B/Ed7qz43Wec/MaiPaUncPYcz11o92vIA6d22bic389HeXM+1k8DBI0h1N9ouwOoZfR1L/Ui6S0l
wwfdZfoCQ+HSIDx3C/iiMCtmgMZRp5wbCl7ekcXXe8T87WY3xs0P9Inz+rz2H2QQB69NswqyOEoJ
kDYC4tW2suDrhcrqv7e217qrFLX7xIvSzkB14pSfnbXL4fYzDQ9sP9ODlAwyN1NSQZzJLLsODsPa
HSmFCz19mhTe0zbzdpJxQXBFuot1O62NFW4Leiz+2m5hnAnuZ7SX+LsK+ukA5opGUXHu0uAlS0Dc
ZZzLQQzSwgHqRjdnPnd2Wr/KgYTHmhiYhN44YNM0k0g0huZZrM0gO/saBNmykTqF6RnJxr6Jqa6m
zRLhL90IgmminXQaGikAtoZTXA75rs/H5RGoYXirq4krPpG+vqCY1eFuXjtTXqq8V+mlKT1NtLK0
0FVJ577LrmlwRwSguM7wg4bbMNy5tGHuaL/T6+pomRLVAztiQ+I57bB87YwlrquuuR2zL20Nx3pH
97b4Qk4czTskZIAKHS9u9pw381MauHTaUJafArqF18m5Cbes/bgxasnEbHp85DBM6NhB/e1pIEj/
VrJsPgzINPxjDfTnjv60eVYBMtrtICxzP8ZZ216N2bAwnumyo+2Hlr8ruyl9Bsn+6qmiBI9pFMkB
XX/kJm3aKz1Fhbd1sCphJKphJBU8+eye5ERoQbL0roD58w17Ou1J9nP9jqCGpqU5NzDzDPnsJh/d
vD4C0+g+FzXfDGosco/2+dBqxQ5Wu9AhSjp1S1B7H9jKCFtbe6NT72cf9rlhmqSjGXmjayO1roKI
x7S4F+cWK7r8KtgBPaf1Gvtje6oQOEcEcZNC2gLAyreFcenIdQWl0SZZ27donTn5Ml7saW+1ln4a
z13eMHXhkwmEn8V1nFXMKNCPefpoQEhGHAoXcSJYgoZxlUTWSzKP2Sfc5DZAjGq5Hc9N5jhBh77v
z83nbDCYf93ZGr+LqIjvYN9xQGYFy948DF7zpov7xt6KOG9oaZdEtjQDg3S9NrtD7RbONl/67ro3
KRE4NuWh2JvQDbtd54wNu3k91ncdK/xpSIJVrBIF5jFr6vg+pYX3uPidTTU9oOpHk/KRn9vvhBvJ
F/p5+lTDXW9woPeoczDJtYCqczr1iexQJIRwa8kpwA1MMz+2wdzks3zWS2sOeTP12XXVR4gml+h6
qVX5B499Hm30PHrZ0QfXyI5AdBe/V3ftmwbicEU6PHMFz0wTTWZWOJfVR+VE9yGN3DqAjpwDWg+p
rwksqfbwChL7CFWuVM9JwQS1qcqRMJ7zFAP7P0O+z/F5wEE8CMOO6jz4sNsufnVnhzskNXXFMnee
kMxjIoEb0Ku/irOMbPKlUzYolbRPiXY7T1hgsr2HTqm+8HQxf/HWUUx7nsowGY3qgzFJ8gUnY3VV
RLG4mdYpTugbecVkk9EOpFV9qNd5j7VOfpp1BjSdx0G6roDxtpGVmNsJ/E+/cS6TIwCu6xwpvUyV
xpWmufGZmgiiTDpR31T0VlGqFEMCij2M+E/SalJzaMg+MAe0a0ysVO8wgxbgXLIfNuGQSNghU9Y3
F02a9g1ExghJ5+rXoVPGmDKPV/NlVpecE+Us8vtpEOlzR0KKOcxOG4+HIh5nRScq7v/geGDKT20t
UZqVKEO+S9nHPuBxGkDfmHigGFImBxvfKlOXL05BLO9RQggsIYdVmeF6WQT+XqS1NWlYEVP/rP4g
9Fc89tWU+H8EpmYKV59PtSHYAPvFizRa+Lp0cu+11emAG7MtopC0vIASIWArT4AJtcOzQka7nk9G
zcZNAlxGku1NoXSh7+GLujnuNcUw2odTiMYmPXKkTT/crl0GClqNDe3iof3fZsvfNFsc3NaIbv7n
Zsv9UH4dh/7XJsufP/Nnk0WThS6JEKHPsfZOfGgs/6S7KPEP+g/0GaQrfR4bWg1/9lx8+x/SRiKs
PQxOgppN/bPn4sp/oMfRpCpjyhL0bf4tE7uy+U2/NmHoc3gODjTMRhK/PD7Nv2p8UuBIzOAz+7lP
19P4ASkn0oaTxIJoufuFXmj3QYkzDz9QrcniROwGvdR9VU4etVamxw4fAEh6oPwOlgQAUWEAOsRj
/1GaZ5SY0yjLjqA9s9I6TrpCPkAFnpnHoZuQKdgMcMyjx/5PJhuCDbKf8zgOe3QAM/+IhMh1zm4T
FcfZA78XQYM0vW3WfadBFbjVGmLXWmowqaqQhyfF8lmm1aJ+WoiRmEN5jP6g6a6z3+abxHBjcNBY
wfpR+jAXaxMgdQnCE4JaHlmFiOTwQ7awQboN62XiwMCu7SJCBuQ2Q3vNkD+F7BbUlPqnporJ4ts0
dhNnTyuEdJVpUmfn4b6G1NdfL9joCzJJisK7n8pmXq50ruwWwjED4eqdWbCcOCq1sqkeSpx80FEv
yoIhHcvqIQM+0B2I7ETT0/a1yyctdRSQXSG8xfpaGjB1pOAOkPXvILYX5rF2wcID1S9tvo58xuIQ
bwSUtBkuXOLOySdN7nT9B9oz3lcMAS55J8Svd/Rm8CqbcU9rYONP7cz36BeFYNafNbyHutasrjGq
4eYjCSGnHv2i0SzduDK8gB9jLP0QuyHZ4kWdcxUb7g1Sx1KgLq/ktabNT1VqMn/YSyLVQhCbPZfC
lhym4PtSoWqEXtgk5VJt2avXn5SjZnOMmOyaRwsZArqSkjRiivjzX5Fe0nR48lJ+xVaNWYZQIzE9
8pOWDj93TplKrieReHwrQQdo1qCqrWb+9Uo9MI9hI1bx1KCS9bojWdNWd5RxEnOD4IMa+fcXx+Cf
V6Tyu4m/czBb8F9Y/e05fhgwd+h+T8kfI+ZC0ouGd9NSNvCMrJnv3UfYmvUONq5CWbOxIbkpdr0E
dA6NLZ/vFIY1n7BFygF3xyLoxnq2eCRJRnSSaYi/lQgQi2vXt6r4SwAM3iK7MJpnP/8kBrfoPlSD
IIg02RQxO/kyTQMMrqthOjzKzsm6D+DW/I2NXXB9G1jf++HQ0erxi21Vlg7OnR7yTroJ5rQfbqhM
VX1dun0bfsQ0NuHGoSJO3uVAG3Df10EjT2jQ53bbTL4uv7U0cZ2PMJlzveOrgzg9JTG/1HN1NdxM
I6lvG9Lf5/Iq6E1XkmlK5Im3UZlnT2jop1bEdS92gnN9v0caUB2yjZlFceV0bsAMd1D2VSpEk1+X
KQvMxqbPgeIVQzCTw67xP+cJrRvR9aOgWujrj0C6qbtr4PUDsrTGJt3CVH1DnlC9+TO9FhKRhwdk
/TnS+MGvrzTTZQ5MuuLVYssO76FLOl8H41scvT33C1K25g6cdwjItJJDG22gslvLoyOWBsjTScZu
ijfgYhSYhdf17wGZH/YtPNu4h9wwxLq/h6OJTOSxV5xRh92YObZV7NOe/MTmIFOaky5Y1kqxDiUm
bc7075FvcHO5kO66Nv/IlJjLl2kpOmmhSBvi8vjL3vXfdL/Pze1fbKcYaoGpsFt50DIC4a3slF8F
n2MIhNWMTvpMnmhQksPYC3k/R6ZgLSSHAr3WnLGsFduyiHrWa5ZTCjP4WatKipkiZdymRdWH9rlX
cfQQIsbgCMlhtBCfrIw0qFMyteOwd5cSCOzf2OLYSn/dyliycPQBaIR5psi3/N21gSEsILsizV9N
0LReeCzQZciRo6FyI/Ws8hYt7d9YRdbd8dcvjFVSCF7Txs7NC6rfRhhODV0Mg3DyOtApJph71n4I
WbPHxoM0Ocv6SdMxIG3j899cqd9d0L7k4GdTIyC99kDRBOu+/os2N1eajoLu+hfHT4f50IQsbO9R
Gw4aSRxoxPIjnizyE6GRL+228pORZ49RNQlLToOzkMYQWzwIYayW4W3jYzN+gQIWJsOWDNAq/NBq
4kdQxQhrGy9l1dzT3k7VLrOMtEB5Qhx8tGtvtu8Dhf6CzDAXMEJFX8yR5msx9B75Qx5j5FPhekvx
KUWIUKIEKOyJt1haFLpbqiNWwI3V26wtRtU2XQpp1aw8puBvNEMHFui6j5sDHNrFe8KlWcQ/dcp4
+r4uS3is24hOQubvfBGBObkZBUDpVfubVZ/hIfBLfM8rq8/G4wl/zP1EwQ9vfD4f3gcWJauAfoKP
dH03rQ0vnM/RktxVbiGq18vPhJYqZDFS7YbyWBI6qnadQic87hwnqMFYr2ItjwxHOg/ytGC2bg4D
rqRhT+puXD6avNXjPsZ4PLI8UdLsQkOwxccQ2T2vdXlhciGa4UZlJZ+zUPZik+DO+X646ZIG297G
eKFK74TdDhIWWJ+iDsbSwGuw60zl0XNpXG+LeIjcx4nnu3pEesKnylOAvREHZ/9rXLOePXtR02C0
6ozb3zYlvoDnrhhigXAPWy+Bg3GmxUmV6+GOPMHAi+7dxEwNTN5+Hu7hFY+khqRtmfN9RsYbEAPF
vBobgymvMneohxubQybzlrmRFtBtqXkbZPyCa94iNVsvadio8LYc+66kaQO/2rK2CQ0aMgUHn75w
30juupQYH++pypdS5geNSyj+GeNGN4/0LRrkaP/6YfpdZq8EdblHqY3cPnCRd/71UaKaMyN8zOBx
NIz3SfkGU0ZXR7i+e6zqtkheE+Ss3j6KVlfwv/3aLLmCWLS1APd+n4FSTaPWShb/UQfdFNyQn1N2
j9EQOK8TyBb7vZ6thiW4Qam/+devvDKy/rJ2KeEJ1xWo2/AXoPn9be2i6mts9jPvsRsDqHuY21vm
gSJz888JUFKxlVbPH1Hkt5ux98U3MTBKZByKEO0AMFyjDa80qcSXP6u0tucTGoJUvdl+rsS29JK6
ve3PZvEJ6ED4Uc7DmB1NxnCQ5nZoyN2crMGHJKtqHd8oetL5TcV4w/5Br/v/E3Zey3EjS7d+IkTA
m9s2JFt0ogxFzQ1CHEkACq7gzdP/Xzb6xNlDRVCxZw9Do2Y3GqjKyly5ci3NzFhvYl0Mo4ZrgMfJ
v+1uoe59/1a8jeIIjaDH4aElFtI0cd7OWaRBPXed9v2ngp5rEoLILyFsmtRGcrXe0SWutXlwe+xh
vr3/wX9MWFg2AdxFWcOjCoQ4+EbLgj72SCD3m881wsBthcVlv0bLdbU0rbPH7KgL81uqsga7KD0g
JESCWAIHrfRTV8n2sDGLqbXevyrn7VQPV+UFnuXTZ418x7TebAjXzhYxFJo+N5Ww9eq0BXg72q3h
ioXkQvgyDSNVEByLydEntWBB8AEDxzX6WLmoGIkolYShzEl18+Cu5ujdmdo6Ix2k+5z/bR3SFLhi
SrpIf5tj2zYPku7gIhQV6UThxYgVSLej8Ci4p6G9NvOuaoZRDbvKKk3rGZUkr3210HfublPqhPpr
AN++PgVWtwTfG2/q+hOQEpE/xiXVWf6yYv4IGXB44UOgzYF4TBiab55b389LbLtx/5QEHizAOR1s
/xt64EaGSrJZznvGY/38llNyTE/vP50/Fis1P30CpFhZOkzmvNm2XaZ7wyQheAIsK6gbtrQ/rWmP
fB+ymuIN1oXBzNz7H/tGcYCNAYYR2iBtSLZZ8EH+GyTzaaCgLVfj02ysskRL0Y60b9oS8DPYYwqF
QNNhWV354Uqt3VPL1IBRf1mc1tvvb8F/cbjjBEuah8gg/PdCZqupOCGn+jMjB5qTMOtTncasOB70
R4PRwjaib507NRhxxfNHrT8kz9Es6cDaM/sFO5B2RBGUdwjKQ+6uG3+2Khojrqq/9MPk8WrsKivW
9/u38O2iQZGXShvEBuVAxznTeP43ZQuHYTD9USefllzLBEeY4suW7TG3ciOglGIVLThMYlNAlLF2
Kdre/3wZ1/pPssqiATMCiGJWkAf5ZuUsvcrQxiyWp9VWzEQ4NOtBDdZ1LW+n1gGLcY1QSlW/xiDh
3gvxGlsP8D2oMd+/kODPK4lgurqQmYl5nEFvnuGis96CyB5/KoYsntMvc9TaJUoCJRW9vbpSPK/Z
uho4TgLQGxCGEf/qT8taASykqSUjs0hSlLf0+EaW2AYMXX5zaBJkf3Z+kVEj7RKEDBFVO8+lGGTp
6JjhMVkU2SsDE5A9r3DATddnWvtud7WBLtugV2DhiyncOr8PHpEKZHDqqIi9gX90Eka7EnTbE54Z
hQ/vyivt8/1kkIV5nXkUBbgZqIVn2dJE5e/dCnWLhFaIKP9FkIAhI5NxNa/0YtAfo5+QgoRNnisz
stwLCnimCmRNoGq5hHdrX424iy2TKFohCbeWAC4pk8w+mm0ONwZZSIM/YIAFWpQKG2b8EFkxOiw3
MTJIlG1ZyejkFd9IROWYeluw/PRybCu+ZF7K6EpuAl3cxvMYcr114uK68jPKhpqyzh0WvMb2ddnJ
nE+KlA5Ld+rdAEiKfrGAgXAeBY0agnkkQNCbaSkRDYjdfIVmCNZBdIBl8gtBjZrDbnIL+fH+2hKm
2n9XuRxZDiECPNMjYr1d5QqpOVT62k800iQY9Rn4hfFKW8SY/omdVmU0VluXpc9UdWLu44Jy+xht
MdOF8sRXcBAdqB/DpZb7kNjwGWuWYGTTVy5NpOGCW4EvRAktxLWNLQyTFgUNC4VjGD++6tIWl7tp
meZbuCgN3IQ+Aoe6ZXd2mkfYMK56HWAQIehEDEtB7VOjN/THMsWg9muWUsV+Wbp8RROnYuRBsFWV
T+uhPE/ezRV1JWpEVNqNd83gioRg3c8r6mBkmwJqzqCB0+cCM5m/RRHr7UnAtDhDhwykwpNzoAW+
yQ6mwOxVB7X0Cae20Po5oOahpiNufmbNQMjK2OLeI5nCsNuq9NqB1+FfATRr0DqHzWqhEQWn3h7o
/+R3GW3K4ZcRr7LnEeFMOv9qFEEWWCoQeMYalkeGv8QVgk9eu968v1jeKrGFzBxEPrCBLeCBJH//
PUyIG2iVDGH2VOGph1oRCiUMswV5LDPLTohgc3n0Am49feEpYiB5t3iWo/4xWsyUzKONHHWurzza
yXzrszzmD5jXmj+kdisqNH+5XvstxsH8Mdm6KN76dAj+WN0ke7QUCHr0dPHewEVrKOngP2GOSW48
m1Ei8/V9Dni70EPgOnwIBR1k+JVcwTBTAjuKCmvQcoEMv4IXRpOefwGKrbD8vUo7UNKTpQRGNREA
nZ98e+FkwNGWd4ngCgzwq7XPsNYSZxUzIPiMgazVKx7Ud6ly6rU+Zo4jiHvZQbYg1aM8TnF0iiNy
EkKvBNVt1NBkIRHj+iFAYaPO2tG4ss7dgMypBHFCUYBAsWN2D5s0rENRxiW6lLMsjiEz8/Fm9VUc
NXfIPE3VD2ygkZ7dQZ6nWRE5k1wD2YIF6r9B+4AVoFXDkAwCzvJQ5TGd86YSwhdvupTjGdpFPK4z
btoBI9lns1WqZvXVnlEd5saXbwEpa+XCLpFxwiJkfrJ7xMHSQ4gDC7G8CkGv++OMC+/wy5tK2aAB
mjz8yGvRydgxCwWfSeI8Z952/iUuVofMJjE+qO5MK7HVdPIsBKzTax/Z9fbjnPuFlx+KEbMhjojB
kZ3euJlmlcpQV34zRLZh4O58bgXADScnpGwB0MWvgoxm1/urXxo3Af2M4QQ/PRgWRBe04Z+GCZv3
n5Tnqdl8dMqWBZBhjIir+Zovs/5aYvczIHjlsV1jzGnAqlk5ANdZWIeEWYNhCe4JErfcvBt6uizB
7QUcx4JPxyEuxsDnXi4knRL15OWEMkZa/2hQk0ROrW6yjnMDxU0ZK44yFbTWgwoseTIXIZFB0cuv
DsqGa/Q9xnWI7z/RduVH4ZeSU2HrR7Ni0TPpQmTNo3ENGQOfs7/sQzlE/jeVsmnZeVCXOWFA/f7Y
hnWHnSxyRDz2850yh45PRRVqtl6xFGzi+8UcjG6fdtZiv6YgGNYNgzLBQLN9scO/YAjneuw/VyPS
Cw56YLTBSabCN9WIy1x6qhAg+CTTgiQcnT0EVIWczjWtty2dWVECqhgJ0ovzKQR7LfCO9RZZQJbh
Km6/oZqSJRv1qctyev9+vc33bIwqAEeFUQ2t6w+mt136RVcS75+UZWbTc5KPqN10li/ZJn4SKn5J
vcge7uNzV6orNS2sys3pcfwlOwjelra27eA7ZZ8rWwn9b26VnkSrBXe3JyPK+xVnJAQs4N0NkJRf
wgwrl2tEusbFQrvAlVM/a/012JvMYCSnefb96QY3CHvcccKp6Co4N+ZItq3ogPOzf2zs0WAadipS
uoKQVIvgYJt40f3joCa0XIdRlTTVLrAwPfuZ9FrGvFPCQPmrQIgCc296WZHJBPjq2NBhmqadnRu8
YpqFmaWq9R8QSyaBy8B1GP8N+zH/Byo7qOEANBDCSM0lyqeGgTC4Ea7x9/GsBkIzE4WgGCADZTDm
ubAYywPT3LujRkKidy1j/rct4mU46LBtvX2Hb7N/VVgx2IuTdkn+QWvOncMGCyVmxqdk3oIOAqPC
AEWzGs85nlkgqjJqsKabsK386hRH5mLjrB1w0bk3k5bSygIZKlcvIp1HTtO98Rm3VB9mN4CQNMYN
DTFiEKu3pTXV3pUrIlyHoirb8XOIGhl2QO8vzbdTCKQAnNiMNgD/cP7/Ucozh8kR2brdkxosPrBj
vC7GGwJZY7TdUpMbHVUxV5tmcltNQFAz3XXgL90xdbEBPaS6yLqv71/V2yLXRvreFV2/iI6Mg1T6
f/OSmeH0sEhg7g1G7Lr5nnNHyCg2lh5Qq0236donOyi9/uX9z7XMPz85pDaFmUSZiv6HzJr8b5Ha
GGoCYTKHJ3M2FNp61VaCDKlBhHPTXoLDpa1cQjbjNATOJ7VfZ12SoA5+ixjTPlRQ8T67oEHmQU+J
MXyjTWa3+R5t6XTV+4y1YD1H6I5U35tJnS0u0T+mpuqjHhVor1rn5FgtaPftoZxPXnWI8wLtoZ05
RbLWaF4wOBaB0BVXptsmzhHDIwMmFN7jyQNIE0ZjqePT/vSB8FEsyJxz9hC6s6X3jTn32QM4utQr
W224NertsizWZyBTaT13msnT9YBTltROfAYd83G1pd9bc3Ry2veoN6nlxEEh12TVNW3lrO1YsWgS
yOFEwS2ymQqBxPrRhJrGuT2f7xcYhrSdibyllEI5noru0daTa3Qfg9GVLDquKTgSdMiDcr01vCSm
7CNPVuY3IzNVk9wN6So5RxJRJI8fOPka/6ZbdKu6q+2hFEajs/RgRmuW/WQX+iTgpWt1NeIf2300
+kWOzWnCTtx62JrlFuxQ2pJGgp5Kh1/pAFZ3qqqyN144Iuywp+L1GYnu4W+QTGxQxVbgTJem+0bR
SBemTQImIHwq3sCnoctMKXbuzXIfB4Wug9NQq0lfMd3tqQ+D64/ZPaOSKI6HCJDk17oMIFHtAloL
aFaFoyQYSxb56wNDclRYBYbXvL3lm/rz+/vA/+Oc8HALBiehoUiRE76VvCaZ8QwcWYePgVNzm+Fm
Nr5xi6EldfbiVATAjb7CNLFkUmHNFWqSJtM+LLYusPk2oDdiqbeYxvgRmAPIYkMX7HbhNzgUVveH
jzAsrbiIrgm3pkPIrLxlHUh2t9JQlsVphazesEg5MJ28QU+jQpwatu9SKODkHTMi7XQfWYwJffdo
3QQmysWuyRzm6tlsS4RBjP5EHwz5zSuG5QU0xkPPY10n+lyZY6VEFr5Mg9T1Blr96NqQxa3P7plz
08S5qHyB/NP9bfrU5A0CpReu91Isp5WxDDdWtIRIYy0BVkm7tPW8BNlb015ux20tXHbCxryx0fmi
tOAwXp+HqZGL8swEjdIKbTRzEIY0nSEiCzMU+LW5VFf9kfpgbKy/DHy9xeTsACgTWw0H4QMEHt4+
575fisVeTesxwHEUzSlrQiFjEx8ZZtDxD+lZvqemJ1Tfvr/G/jx50MThH0ItIBjIoITi/2nhkrfW
qKYM3RPcGR2/uro2kn8cx59HLKGjbL3ya6WGf+fGWH/GKUIUzwhrEdE0xgOoUxkYjad/OQ3/uB0u
KlMWkoc0/yNcUt6AJ0Pfzq0Hq/qpCXJ4wdC6bRr4ZotXVH1IEoO1OCaIvn72Uwvfrr/ckD+yalfQ
dOS9OY2tPxv4tbm6DFk1+qkq0QNcIPpgaMEQlgMx6Gdd904z7FmzS/h5zbBxht80dvKjt2BaM1w3
Qcr69v41MRD+JtUH6gh9ekL8H1zpD1bBsGTpmCXr+lA5UW8npxwjUKf/QCY7GAqgb8Cra1+Uhfy4
FEbzjNTutBsax2HX+RXj9XCD0KBinfezLaCCg48Ev0Boc4ngo21LMZqN/kxdlTEA5QUnYRITk+s4
QX95HDs3ag4OFNma0Y4Mu2NmxPtJ3hIG08Sv0eePVI5kZCAfgNGpvImKLXDkykfvydt17to14BSe
gpyP55aciM0CZ++1NLrCD04U5A0nCUTbOGu+aWwpucZ+nTN0mkwE06mbsRLt+bCqL8kHwPsWpvtj
10Qx9Kr0V2UmN0OJOXH22c+qXFvHanDSHKVEDCyb7Hoy0z5Xu65mPvAzVg8adp0T0vz6lMVT6ZoH
jJoWKL2Zi4B8eAfRueaNzQaiDmacpQGx9sqrvbiwr51mFmUBmPFiaoH0AYo4IWoKqFT5fZ3NX7Vl
cNp/2hQhsZ1Hf2io+J300xpZNQjIqpfJuOtgdaEtuUYcc9O3OS/LMj/iECNPMHKLmc/oUVBsvuBP
EYeUUzN0vJsAaljxwyo5NznEQU1R7+TT/OciiRP3AB9NgAJkvYapxkpUYS6ClY4cgHTMCSuoUteo
hQNoy9ftR/qcyT5cxER5p5rOL5k6rEdn/hUnOmBklMkJRADN0IVSzNzAOd3Y3o9Ov4CvXPaEbBAA
DpeyWPmEfmwTrCuXXyeG/OjizuTHJg6uhtpSEDBUuTKQQ66C2ORQVX762wO2bb62KWRxJB3OVjkd
LL7ch/8YxHm+x+FCvDQWfznfoopBPR8ivZxwkTOLivZ8VldsPHvgDyic0DW3Gh7Qhw79X/V7Dk01
SPacjvi59D2ePCflZATeKIfU94qQSlKjHE4jo7ya18GA+L+ZGq2OR3awa0J2y2OujFG+JKN5/oc2
qRDLMq1KrknFjZhpQDRKBcYjh4+vijHm1tGgWvsRNv6wcr+XyAB+dzI6QOaxsjKRdzJTpulemt7T
GLgb6dRU13NmT154o1FqarsTFaGPVlfQNW2MwnPureKY3CjWcMLEO3cYK2ZKiEHZfGDeDyJFFqLx
wvJz+pyl5vqOiIcq2GhIlfaR/AHODfa6VwmIo/fSaW2M4x0Kn6zZkEyI77Q92JKb0rwyVur0X0fE
L82v0AvD4rtP/bo8eRiz+F8TZcu37zIlum74ew93tY5VhFqB2coTCewcvUsZDpAl3vVpad0xvBh7
1j7orIZ11o60319bYx54I04oRDkjxazRTXJe6b2ZZPyqnffsOZ6+LFq8fVmnduKJonS3NlWuXnI/
4KFuRVTlwIF+2b7fUCayrdDcQUmroIXIm83pivipyTgM3ZoMFfr6yNyAUle1N6HwtsvgDxCuvIYZ
OH2wc5C9H00wZ+O/oWMm1Y+tYbJl8Q7JV/cddWVy+dEDLbvfCLZk2VH7KV29rP2JLjEpSF4y4vw0
Ow0Oe3TdbSf9Uricqy7C7fGCkBBO5GFIYMdTUP+6rKtmds9a+HXBSrmsTK3g7TFdVTGaUR8Tv5iT
b6PviY4ninRos9nlmBLf/MKSiOkzzxNWN+jbJT3KOijBsgItlXLX4S5n03iX5Kvgx0ZtV+p3MzJe
lsGgzHBnZyQVnLK+hSxMGqBTs4BWpbWnEoxwO5vIt0Ak5oPL1it5OS1kORcMTKHpcyHkBOzY9nlB
VqejjHRvgsAHQTRm2uwZB3WEQw13pX3FfCX43mRE5KvriBXD40bDdskzOReiELsHem95byICjAV7
WV8t44C3Lco7sCrJMDuYO7idV7K/OBs7M/yRKLAfdVUieD6Fd3ideNGXemKmGReO3queR46g9Hoa
4ICgGInhxPqdMdykvnf8KiteM1Va1r8mcXecPjDRN7fd3tJp4d8bqct6O12KtmpozynqOatUbl7U
jPZJKt1HK/Lqt9jouq15NxRRvbwyn9KmD1GOc/urE5Sosx5DaHWM1mOknIq81Gw26Z5x9ohCVMVE
jf5A25QD6WZ2hrKJd2goGaiAQsLNh8MQQ0Yj+k993dE5szodg0wWbqDvPbRQoq9hOkT+b4AETB92
QA1S2IwBxqG/3KIRaDlcXTq0iOVJzce41bm/mONFYu8vJZaH4ScvhObNc1HohA6/7I3PPhaZlHSL
G8o70WVq2zvsxxZ9m6lpSe+qhmH/ezoY9fCYwO7rT9YZxFycVVGtwXCVjQabjzeOR5PjxMFhJfzZ
eFni/+hmBzCnYwK3foymCUCdvpUgZbTjoHeimw9R+8KsB+kVzvEmFxkh9aBnRIw5GfNdU+je5nVD
ZBV3l56VjibWf4GmimRG575FE8aCkgdJK7fcGsKO3APvVi6Nv3H5b27aCYeWCTRW7FZRrEwDgTTP
2BmUt30dWWCNZ0iR2Ucpypd5ruQHXxecaVSw2A6eClnrIc5p8t1n6X8MUMEpzXHqkPMVahwl/AqP
kHbqpS/b2oHQtIvInsiVYQtLxRbpnuCjIaHTYjdiwas1g+Hdd0kxYdD7SMMdhk6Do18ekY9vDjfQ
q7OO7xp7U2s/O6bd9cVNc4azW+qt6UUNzXpcyxB2bV5Ghf8vJUHS7v3cJMyFJiDBM9gD4jgoAqo+
+FAy2m4XRxIVKemQQypvL50DBl0zM9vTsjHD8VQ5KeYIh2pIGd3e9Q2x62nKz3LliEt23/mo0X0o
F63dx/E8swFWByeArLwGpvV6WW1jDZHpuvbxa3suYBCy/K0M9m91qKGpkFP6jWIuEWOeRhQ60a1x
bf/OGy0OlxNMDjbEtUnKJ3mvMWTqycE0ghT30t1A20b2SOtHFbeoX0ZMT3e1Wpy6+WdcQemuqiE0
eJodeQBexS78UQIQFWjCk17nbqLzfkG4y6kyjOXWQCgizE868tk6rtUG2bFlqELhX+Iwk9jRSCoC
EunJmZzuhRquNFDepzU2m/d8QVptuyEMGC7bb6WrYTMn3Vx7GERwPyKDk/QVL2BZvhk4LzvLI4Ty
pypqZJ1cdLVTZr6CgVkU9mm2Z14DYwa+GRXwNWPPJBTE6rQtj51rYHd3HWR+hiVwFgNTMpR/bsZP
gTTUEaHwai4bJoOfPc6IJi+vYLFU7crIhZF9xgMKq2Z1khtIp6li9Oe2MYu8uu7NLBkP9XmOh06F
7n6ZooD0ygYlQGytwAC1jPoxyBeB+87vto0ulCO1zH27vedaDGwkVE3ZyhHZNvvIcVgUZU+CqK7S
AuyKcwpBLPNhhVxYfV63fUgUF634UI81J5NnwfCqTz6ksdi+xQy6cYLHkJkOt39NkPIqw2vOP9qE
xw1RyM1BgpBuRV2ezj/dyjxW5/vs1TKVBFFMGoIXboPdewGboq/OrcCYEy64jjuUO+e7qkIQNrrJ
Fzryp35rRs2top+k0emTReV0Qlto8Mls8lsUAMkv0jaRHmWwDSPlPZZ02V5Zq8nyMHQzyYmHrCGL
MCyNUpxT2pDRhKsYh5SETIhau7xGjZqY1iHr1QUzjF5gKVWMocjSJaKUnEJJHmeEtmzNVK9zyFNl
iMzyepFdbuuhgRyX71S/mjn6zH7IxANSWAsSvtEQ/a15fuZF/v++E3CJT2MHHpPvOB58uOgNgAFN
aIzzJAk/YlFdhhZhGpcdKBIZNfG9OVrS3vCzgCQROE9qBkJjoX4rJ1h6dqUH6/neCCcc9fa66wb/
BXLI4kvmXyX1Da4QJr8z14u9fKxRfsy+4i5EkghE2vMXTYCKb7QvospGBVVry6717brk1KI/6MhK
0I7iyqBWXyEjNNEj3SBG7XaOPTGpIKxGKakQx5tIvHWaFySuiKv4qrjx6URCJiygxJGgImmh1msX
NWsa2eFaZ8IdSS1J2/NzVWFtlVjWD2KM6JgdasE3zJaREKcIl/E6pzAMy71vEVaUAeu+Rpa4HxEL
2q+YgotQgZUllEHazSJkCnLAZUO+aMq9CxhYydT3rOzCYjop9LFpSaytia+VKiskYdXSAIdyVviI
6N9sifqC1ev4SU9sQD5qHkX7Phg5Yb/WRcX1u7oczHvSZTd6tFjv3XodM9zKqypMOjD8MNBjZCwn
YbCnPGRnDyhHkN77rdit4Bpx+jLp4rbts2eg5vI7x96GL97A7KgO6GB0AUXT0EyoIdEKW3qUk9xM
NpwDeZhf7lWCAQAj5Sl3XtuIjLn38IoopFIHaZaOhJjKojv5ftJ61pe0MaT4y3Sq/Beav5j21JNJ
B8nJWkEJ/p+Vgo9twd7BraBxShRmRmqxpI1oVLEyi4UqsaTS50vhHeXz5N3Ik6uubAs1/vVcf1zq
5t6ZxXKosEtiGboHmf9SlbE+11YJYmeXL+BjmsAjHp1CBLA3xgHeGwmXNIkCkUEGmBdOtfN6T+pw
5O8WKZInd+VHsxTEDztKLZ4n42uYFlxvX4t5Ibx471sYfQYJJgdcoK4mSpT5q8OYmXhr5ZM8+KBu
0ix/rOKE0asTw/ziVluAUnMFDjA0DzVMy3zmQprU6qNDy8R5j9TtYCcr21DMybauHaY/qXUHszi8
sANnIEZZBvUoFUeyuPBHCqNFOFg6zTT7Rpou3TUqUH5lP7wPvbmiLPY/XXbiC7R0YguaRBFwpOu+
adZGheVTI9YpxjNh0QaHPCjGKt373WjLnGXbTxHw0TwUE0anGYoxOBZ7ZqWZr6NecXpIVVnloxaj
BMhlQJG9AG9kYvcjogYKxLxobhF9to2u3UAQgKVppDA2KiSovvpWjqDJpOiS/EYFA0KIMlY9f6nE
e/pDMSt5lNhmSiMMZZCZ1R0uYmqKasc5Caowl1NUKuhTYGASxdxAUE5e/+iM6Qy+hyizGLHCr9E8
yy4+O+ItTB1hRYq0Q+19zUyyl/VxQqAes/JhXh1MT/ypL6ZfHlO642dTlx425xMpLBukzjty9iLA
DRHCzeyTAVwuZtOuj7tRQDJiNbuZ9Zxh3LZkqmdLQClB4SK22wwtGeynink9aRRYbJKXikl8Y+8D
D/BbaQgAsy2BKoPbx4SAUlVJzRMwEfSJYQr51mE5CbaDpFtOpHVnFdT6GCkrzf9Br6NvfkUqFgtj
C1VILKQWR6JC3LQTsF1Hz4c7lgxlR77o9PbErR3o2HGj55jZ5JcNyHLOlnZhMjnZcj0jSb3c6YZr
wI5lhj//yuxRnYS3GfNIKSO8NAP8D4BNEdvHggRj4nqCeLXU8zRUlppxx1ILHaKaZjmxEPSZ6Esi
bKO9nElbMFZc0YTjg6xrjrRl/niRa28MKppHPO8LAh2qA7PzxLiUYX8PhwmwDX+/RhaenoeRoIJ+
pex0dr0EvyL00aE54hu0YPNqQVTWgGVneOTyQkV625L++QwzZXftigWrsY+TEs2JXUX6ED12IeCN
d5hALXiSDDVK/MZ/J+FZRwxqIOW/AQwZenW84oKVhom2bUngmTxBuYdQRRSe4i7n/Z3KEQeYvIXV
6O5NUEmC5xZXtmM9DUPFjWCAARz7ylCmnHU0lzR+M2GCUnr+EKcpzoHXLU3K5Bq6f2G/1Dhf5MbJ
Bz9qf08dmrvOwVRWAOA7jFbXtc8XqJJofMbxIk1x3CE3PCUFE91WwL5en+d+xGPou4XULTQrhKzC
tCoPFNVG4t8sHpuiOoE3DvEDCh6Cu5moMCz+DnmlNJ5P45DJRYcVukzLgb0YV58TUdNob2Y4Q7w+
rF3JYHpLCcKZ6UrWOeJJnZ4/g2bBGdlthjVAsBPmw2Pd8oJYc3HTLkA9XLa1M8txhBLKvM4fW6gE
3sucIM8b7TFHQL0IFTLDOk1n+gN8poqjCNabl0XfYRqQ/+9UlaMDSl2ZgeiXD1Pj2FVyI/Kq8Utd
tCTox2LuIXCf8MqM2vY+0APMVr1XkEI4qzAtDbIBSSFShtD+kqNfZhfoCna1B5h4DKZQTtXWQpHn
ZV6brK72VrighbbPraAZ7Q8lOD0FnAtV2zEPSZFIrzLTjKZYV2CqzBE9W0ErSZQRn9sBNsNwsoNc
F4uBJcEiEQE8ABlBv/OE4RP0XsyK2fpTjNGclX2vIbCV2cd+QmNv/cy+lt0ZTZ2gxGjSG0q9dCuR
oL1Jg1JihBPXUobbpM9sNlTrXMJk0UAuOPjpMgfhJzPsXd7r8u02zw+yJEe2RqcEKV/i2mLPMUnQ
dT9pwPXlE0kSNl0HtfA/mhTC0NAH9piHzYATh2MawRbOXH5rUiVpCoPX8p0ueZ/vVyW7xT7DzSAI
RHrADQLbdv7QbWgIcu6EgMRhZcKNRbKJ9k/UK3xh/EsJIJ32FtRIQpg83XFIinExrjSCIVFy3599
P62qkr0PmCKGCpbd06ArIiNIpm/bKmKWaSZdAgOFY3iqW4Unywe8H3T5a8ufU39JoTA506rqW4zx
BORNPHpWSMuMazyogN6/Z9OUJvk25YDDMnJVQHl9bvPY24OaxlK2KaHOYGZstQxJlGhV0Kocd9QM
YmmniqI3l29i2hLom8JggPNTAkGxd283mq1DQc7qnZN2Hix7BwOdPGszhawWLX+1LaHy3NMwy8r1
/fq6cDzFPoByJd0MdvvIpqvo6HDvcTOQ9KwOGoOs9JJome4ydz3O4jIPYr2iTW/kiPO4XmXWP4cA
q6RPPqRInFXOzjBrXJfau3Jb5PoQeGEnTtYz3Baf58HYUz+HzXGaSJ2YOUFXEGT3zPt3x56tbZOq
soMRKyjJyOiAkW7Spz2v/EAZeEdu6TlvJuF5y07B7iVIS8uGqHNBkhk7BQmH8pcL1ItGHNJMe2WQ
jrjI0J0zTqnxeGbloL0QgNHIKT+rYx/FGqIOKlGQdEFneh76juRPzFjp7xXza9TAakSYkpvOHbyk
tPj7YI/x1V01LRE0zyKeYDUhNoVqeD3ij7GLEFTmHqdFLz63gIXiBuoZVKP50V1SigoYoj0PA/sJ
CX0MEhk5klQed7Q+IIeuXRcG05KY17roOMDRseIwDS8NJI30Y3/IwLTGEvByAfbYi1A3lw3tC8z7
wdJN4dcf3cXoh591FHv1vXYnA3v0cXNM8avUJQyNtUEyiQ5J4/AniD9yl8g1ZcoGypW843JOCRVT
6HwHjCplR8EpIW9SNppxT21Fe4vGnlEznkiC0E8zCiHThCj5dUQt3XhHOI1gqCcWBN0MGrMasxis
O2g1ZUYTa5v8Q/gDrQOg+djYvRzAHdReOi9tTcrPFJekYcvoovuxoz0ggS2ixei9FEl3zn3qQiIu
91Ec59GOljZM6g5c8uZ5phGzprY2PSlnhizEsmi3PQkHgLM4rXWhl1N27jPhe0Wf10gQ1//tRgNl
0xao8tqqeJxYjskxYMTiKr6r/Qavw/2lKim21qJbpNIAdgEF1W9HAXU/9kHl99WxRKUgSZAV95yq
+zRUkJRCrG3KgMbl+UbPXij8/qQdZdUX7YCsNHZQ69qhS5EsyWmYm8QOmKiZdFPukafsnH6H5DX0
qqtIu0MUobCAKc3tOqId8hyduyLKKKnv95cEdCua1nP7ju0FL2uHC0jNrPnQpJRVH2ILS+p2l0+J
gPMdvB9WR+U1w/QXkukfZYvvWQRxZAUsGCXMoPyX14GEmj3NUeN+jLBnXL+gjNmF5oGwZbgRTKt+
Cl8zZiVZDyWxF4ixhVploPVfMkX/fg1FdHxbQ+GFyUCMjy6Cg4jkW0ZHOFlYwvRN/EhrUhnsYpIL
iDxNEScPmK+2Wu97VgsLKGbIm/tjn82k0FmRM6mbLEFvzj3ozWWQOWyqGxTePO7e1lqNo5EXYc/B
8RUhZ0oY7E2MuDA9nGzOhYiYR0sV6RPW51jMBjV9REGOj29ZYywNGX7IpAe/tXJBDiReAmJLX3CK
BnYlXjT0T0sq05rM0l6DaT2mRSIFd8YMDnkCkg9SNuQAYHG7m+Ck/2SKh4Eq7G6XvDlUriWlhlsl
bABwDFnmbRaOBK9iWxFga76dkAmZk9VeDV4q54tCYXn8hKOw4FYB2qjdqZ7hI8J+oiWPRPKWK5SZ
hezo50uO79NhKT1KtCwOon9ztQyMtjRVaDj0i+2s7G/NKQ4VwitpD/0rTmqJ6pBUAbfmTMm3TwPy
ngIBmoD2nx4GcIsdtlil+wG+Vs0RszGVjMojumxZqI2qEpsMt2syOWs2+DeX5eQOKM1aRIgnn6E4
J6nlXmsDTbNdA1kaMGi7433SjEt1TNGqGl5qNhIWirnFQ423yJ+BNtrOoUM4M8Y1MbCJdQGU96K+
JR12UDZee6so0uuGPKA9AkZFcXqjA2exX8qV6cdrHWIHgphp6vKpQ5dXXX/Vd84YJ1cOZFKTR5IW
IadkFa9So1hJJ316C5VFiqUA7QMeSdnHYrhcDxHq4Z/g9dJdLfFxpy4yBj1yb0DUJHUM11bwOCUF
CcYlW+S/9Fq3G+chObDem12EZsXJO5e2GxzipY7kPSMcHx5GvG2GxmJ+5uUSP1I+QUrgaTAdijq8
28N9oFv+G9WbwIwVwYflWYaJVA8YyDYC35e++J6qsSYv3DCXAcYJr4NrwCZa7IYsIp4mVvuWPYxB
J7uSvpfkX23Di8C2pM6/dNHdM32GEQgVPDZD3eVHuj5SiGxR3qArSl9+mPl1COUBUoaqpGHVHn17
lrJObdSKMabAvd8qRPh8K2+QdLkc6ilmDGzR81mzhXMaFobt7xOZk2LCKLenX77hI1P7YZxd2WVD
a00SStJBLkQ0FDjpNiadeLLaj0GlWZ6M4EgyveGAcR2BbHnL2juf/hIE/8sr82x061F3CLAfoBL4
c9yUtNxb0R+NH7ZwBoch60DI4GkyfGlrgV+qPGy48OKMavUJbOeXC3UDFi5b8P0rst9GZRjngZD+
At+B3v0HqYyarFtVMuUPQV9SKKIYiK5Fdq3yQYIYasoSTf6PufPqjePasvBfEe57EZUDML7AdJMS
RZGibEu2fF8KTK7Q1ZXzr59v1ynZ7Jan5QsO7oiwRYmhwgn77LDW2uG4r7CYvltb+ML4JZI4WNE3
a7DZzKHAZvqA+tFH6KzUL6+G2CSp/trQW7Cyv0UqYuJAdDhwRuoF7tV+7Jdgu/YkYHEpaTLBkT2J
M1S2YcndTr/vEWmbGeAwtAPQ5rrn+AH07cMjsWOHR3Sasd4XpEr1K91pE+3c4AxO/xWkrdhixUbO
YZfzkhZUPxbOYIKqu4mdpLOHjQMmIbvsQSxFr2GZjMW/qiCIzNeV4Tb8LElQ3uz0Yx8f5AalDWJU
DlBojoCUjw7y0XcZWDrG3ZQCdfeuNCYTxAViHDg2GgdUulHmp632Sx7QymP6XUA+cj+efpIj0iUD
6EDtsXSw+QKQRNX3cAANTr7OL9L+xndj2VpWKCRoOKiSqFjTaMWC5iBthgffm33gnM++QSCwPmSj
NzVZCiPCLSNVwt/pUoUfqDp85wt+J5hRCLxSscfpNzgkLsoLcHqZCBoiLoXk4LGmBG2Zyjq02vKm
XJBe+1YHRrMNsgCntozRwfuWqMchlNUxWXMBMxcwg6i6QP07HLE9DWLKrvXLmzFyJA9iAt4cpm1d
ZbRtA/5eYIYyOpU6n30oefzA6ff9asmbCDPZYHvxI5k675haSqgiZEmvu8YSiCMThUDzxdgZGFWQ
W8wCPrlEfGoCsAdiLKfOBBu47Wdp823vXUJixZZUIQsIt7HoNrFehMHPje1wlW88t3nkMMpeBTJF
NARTSne9o6IehHIaB6DafzPkfVk/DYO0hdoYC35vt3QoNJc60C7WOsfbArjbAUitNMp3+Pg8dAoD
kagY9cNvDqp/vIpc0zIFM43almO6X+lthXbQ6Hu9H27ozE216XLFADouvQYZtH1PGA83kbUd9YN4
CQmZFAY/6Fs5k9XxZk/kTvCtqpAtpC/wxCyrlmzC4jUpNzRpcZSIc+MEOubW4oQHdb/G46keirsx
kNIhM6ZqAYFmUM2AmKLrs/VWm/zSsM4HItPubqKoifElZybYhxDkp/u5TWpZlaGzEETWPDDMHGIr
NHLjJcpvSryYbE48s7pZXVZnib68XSfVN4JiObvKuSXR1pamVu5fKy8mBTJAYXgp7YyqLGDwzEzL
gtkrlZmdLGepqEkL2ss1hq6XE0U5KJpDgYgawkCyhFynOs3nPCppfxJ3AFgUDChUlHMATtZ8UZru
UA2vExeoenXJcQ4ejTI1RYMY8DELHKVhsVlACTi5wjC03VsdKiXCz4TvYIVvqU6htnSOlEXoAPKs
UuPRccCa0Wsgx6UDPDcWEumiZiVQOojhAaHI6sbs8hAHClFGIXAj5Q0a41sodTG1z6veNDSlKOUx
mbaPZOrxBgGE5Zr08UtvNGweO7pE/p5RcqfEI2KixEyi9lbtlEKhAruY9AEJxWASd6feof7YvPmS
LlS4wG5GwtDbkNHc0/ESSoucabOxm1LETw2o5/QOXjy0b+z2YyvJ/sZCERdCg8BcHptlqBFOEWe7
5roMSZQQ1ejNiBSajbRc2mzWBwea2brnYTKO87ypG12O6GpJZTisPaZimIuW542rTqK5EFhJ/9O+
7/izH/HSwR7b0A0+D07J8j79BmKODmbDQ3aBBjyo8MF95YQ8NPOaZpMj8svdNTjZxqnOg97AxwYh
78Ee2wQmHQvIwi/VutM3/soUCUcCohy23XRhER7dGIYprUVr23xX+fDg7ykj8G5m2AkAGllYDNHp
+x0p/mHuxCCz4vBjSdS7gRjuZ3SRnVOjY1N4zrWdtlIk6atYdj9rHPnvrTHSL6PdUiWyQK3aIfHF
ihyu6zomvVWEiRyy64zFE51tpJLW5E9B6Xkz3XHsXr7Upo7UFLRB90hikVpqaT3qDhwXGyOK9OGp
1HN7/wbYqce2O/2Ox5PJMsTJcQMDX5Fj6HhrjbTILtx93VyDtZCSHBys2qKSQa01e5NmulirypqF
KHD6xsd7GiU0Op1xqtho87js7MOx1WD502RGy66tliOA5ANsM6nhmjJk0KUl2TEjBc5at2iuwmOM
Cv5++jGOHU4PT8HxWFAc3H9B+wzIANPxLamuVZzF33WmAmaG5GKAmu2RAY+Xuu3ohvJoA3Dt4p6W
C0Nzf/pRjg2Dx2ll48EINwqJ6mOiNF27xwR5Wf3drsrkIAUTKdEi9HCWedKUBEgqL2+XnuAYTt/9
q/nAb/MRtkRqhDApOFZki0K3M/S6aK6mXQzF/rKbOzydIKYWBL1D+FmfV/sCy5lFq/Kap5/Bkkl/
blp8g8hMqLDk8liTx+JsEdlMurUX/bui7hvnejI9PU8ukE8MtIcybix6AO1oPO/jjddZv3tI0iDk
H6Q1dkl84Y8A2LCTzZg6d/sIYm2M5sYSmUdLP+nW7SQz0AwhuSX1Tk3pAWs5NyOSebc0dyA0Om9Q
eel/bcuKFl+vx97Sy4cuIF/0a5oHcsiVCxkiWBxKumoW028laMnBu5j7nIiI7jaSaRySrjfPC39q
veGcghNn7+nROl66WEDOEjKfoONgcB1v3bCnBljt9um7nl5KifCoE72qADK7ow41i+LdfqK1Q+No
5qbXkiqaSBvTgcW9ds19S9Or049zbEl8HEXY074olcFWPYaODMUYIYVpx+9UzKZw8YWqQSZLBDJg
+xi+07c9PhR8FisDYSxkMfgwRza6BPWpaZjxK9I9CaQpmjng/yya2il0Ntybb7kjHHWHyxSSHjvF
8R0Lu0UrveNligJoDRmuyq/oXCRkIrrIcE+aFkH/KCnqeNlI4WGIiv7CJA2PB5J3s8QdfZCLU+yN
nVv122gEIJ9faH44C0UKsTAMcE3PZ6EQVLWPZwYTBUb3+dTEknfXzLKp0UmtSvLDVLOb3LyFRCl1
O+Vr7mZGq95qAQren+CcSfpCZXnAZEu5zlOZB1WgoNYi6IGmqUJ+SWUX+z3iM8BzcqPDvfB1jVRw
oNLUfahjiBRRBXqgvEgMmoRPtIOVk2m1W2ae7OhZhBauFoeQuAWq6ttQCWjF1bh18ptKcaroytRG
zu1VC2puUnkgnbZDJvWC2CQluyW/2TeA0ALQaldeRYwZ/7i64WsM4VqFlBmShTdKe4ksbzcIECJm
g77MHLmfuwXEmLMJZp+sBi1M79aVQRnQIwVjGka2Q8QlanODTlS9pjm/RrQBtodtOiFxPG1CsGD0
I9N3QZxdxLSuhh7bpDTL+3Ee5sh+RH4K/2ejKEh+Q7uq5k1eUXZJ3qxYxS4nLwsdJSiXCGbKSRKi
tgrf/tpNkAT+1NnUK7KtQxO08dOaHJDMQns+FgbiOpvE00CVbjIHoIyxySf2MvAgBfDLzEgbL12C
rr7f7K0iGX4eZtgd2oo6UthIVTcAwSbTNQKZYbRV/WZacEhTMIkFhUpsZvBhqpnsfNXYI3OMEK8U
EJdcRp9bexevs5xss7qEmg79ZVOM4LpAg6jqtkkSjN+ymm5m+QMCiBqUaAna6ZatXPQUIf2i+DCX
ObCILyA+e6ZWYOYQ9z4pfht1KdLhCgS0DysKtGxJq/3Vb9Pa/TADAGPPtLEmR9KKwGxmsCTb1t1L
lR20kUAFE2uWT6nZSdZop5mcbdRfSUj0BeVtvqRAamglMPizQ4kTsB+MaJLqiuHWuwY+Z+NYAqbo
Fa1sxSGFk+kgvTxb3pBfZ6rorEJyt7Qa9DNqvd5hfbsOE/FJJWKbpUi5NxHnvQ0gyNBrOsmn5nwI
+46GPOnghu92oDEdNBVAQ1xSFBdc6c63JExxluJvTpTCY6ooRZXSV8QmLaq6/tYEAefAhordSL9F
spOQtchJFv9uFnSvgU224CaAxDV4V7VTi/nJphjMBBAQ2f50XxLsVt+yLYB+TOgtbdoEnh6ZapON
b27IZjg9emM16sqwqgxjDi5X5w2FMYqxAHRdHyD3UA/erZNHErQMwHDS34cQuFdzURTuriP/2lpR
9hbMamWgx9SQ3CzPXXvcaTTPjTobd3uKfJoM3ETFTDC6qRVqD6y1LDMt00YurMGz59PK9mtrF9OS
0C6S5ZDawZB4r0HtxX21BWiRtRd7mjFMNIPnwKR/WM3YlD+SUtvXV/B1vRaszX6qWNIKaMAxjiHD
O5QJUOxDBJZ30AWCyi1sC3CakPM8BRqiYaqYMvQcSQG4mu6E5Sanymwjf6cQYlpRy/VsaCv3RQty
5xd02VqhAg6uFOoUf1bhgHNOExbzbGuO0zyqHFXTs8SN874wW2J3zuUK2EJKx2qeAVUdK7jotS4a
gDyQGREfLtozH7FZjBIR2wtNoY/F2O9cX2AGapPS0JyQQSAOZZZ9oCmaIBZUbWstfyh2YbKQalua
KtDAaOragVJ2jmvbX6mJR+ijIWETOVIM2aewboGDZalZXtfwqMbw3GJWQ/uyA8M3TusD2Sisxufq
yFjTvZ5i6CrQvzrlEg3q0ScAIvJakbXg3FWNfI69eXdJc7Bpd6emiIyZmAaDBqosclKfI3A2uhrE
xb2iyWKYCoaWc17CSDeb2SUKF7MWUXrF2pyUtYSy1+cfC3L23kNpTHb/JtMrLEJDQNAi0bpAQBWm
QOsqyUGsQ+i4AwFi2AMv4m6BKwiJbsmbVV1uzo8U64ryjWZlWRCca5XrzR9jUTyCQ7rAHPdBL0FQ
5LfYENjFwnFtrSmcP08eYkC0tQw67MQY0bHF3cBLJSmT0hC6gW9jBUm1JVUt2dDdhCop11lorxDz
JLbQRdzIQNOEORpU9Yvq1rR7b5uFbnQs8LQZadmomxAlbwn9B/vWMtNCv1W1JR/ONqeykj7ydtDa
xg9zRkKHGrxLtxvYuJ4j418jbccnON4sxWbZn4VjLbnDZazMpidtpUosaq5puUV6nD0pR55aeeWC
tsXbZabKGu7IlU2pA487hpjmfC4NVDZ+n8oU6bINoseSSFuxFnHT87oq06YAMXsrpi5K4mLP809g
qhz6a4EwlmdWmhRYNp5VwZXXqm1hOuJYqbMiVEVzEHseJ3VnAquUmmPeopwT23bNYxfFJMyFLoWT
8AfYuauShYCuALsYJwn5AjSphk9NZIv11eNBqsuqJrgCz+lHJdXMQiGAE4ey1o2BiAO5voLI9N6l
yVVufk6KFNQLCjet7UarF6dyRFWnyUSMi1+0m+gol1yDoAnBDoOc4pf24wQPFNakTUPGt+VI9EEz
mdQP9hu4VQCBttFe82tzq2D3TdlLsAMXNqt99O+H3kSwfsG/TDnRP4pOZShac2v0DuWa6d41hg1X
omi77AKvMYid9xwQeyDX9kzTAmq4AUAJgPuU4Ujaq+prOkCHMN4leY2zresZf5q9iyWAuAnj9bXb
RMbUXoP2aIE2qsTzekSSi5B8ghHMQZhs+3pv8dybFeFI/kOSoC3QFngsCgDHP0AG0DuVBUX3Q2w4
jReAWVgzE03Jbll2+Z6msRcrymK16rtJ6m1rITcK6RywofgBrD2yW4cFElGNB61hjvjVdCtd5qda
i+cLGpEcLprolwlKxXLOwFKhzggbQBJP62vQCkhAq9GUCbUjV1oDmm3j6QZeHVDkcW1TVnBTppJN
pmeG5K7dJZEwLNxyDm9ZYgp75vRUC1+vnBY15G1RZvQaBPGe9peBn1ITqfKO8Ga1s5D2+vJXPcTn
e2vTsarsh40FVZAa6jAbAacAbAhO3zXZbpmJmD1/KThXVSBZ6TIbUn38ALRL3FhnNiSla9HKafy0
W7LXc1RQLVB5TOUM0jRUfLV9keaGsR2TtkeveD29+ti1WIg5yDkGpR/IJH9OEfRcVqArIVIwW/It
ogQhKhWu5jXJzyMmnJpDAnNDiDZ9SOLfGHQBV/aewVSBpOdEXYHJzUJAD9pC+B7rJlTVvxUSRd2Z
txZC816n8fAual+vb8bJJ1OoXq0P6ZoEcFVVbJohM7Nf5n3n6e/MpJUD112QEdjiJv19heCDGBIb
OPuZ1AsJBDjWupLteeXEkXxnXYjpIgGwg2BKRYPKCO9Vzr14+ro6BKnH+ea41eF5TPeOngrafypI
Tn7KgzisP61gh8bxBVGkx/u8iF5XSNFkdyhIyTzul6oTxUeW/7rG1nSzOUtlIKOVLAO48j+apbbv
dC32aU7Y5ExzN5kM6rKufL1gXWHN2REIp8qDKniC41TM/5RY4uIrHQ4F0CCi5pTwojn2fy7rIYeC
jj4S4xnSLZP74lhKWjVVsp9dKep4mk8NLdpi8XT3xxqteVpmzHiDxb1vlLaG9B5tVy8nFH3Z3lqS
OW20iREzdh4VqFDRsvHi2/bKGOPyziVHQMPL1ezqqYA9DahwPH7t9sKUUj7biiz0C2PHnmVXSckC
ut0Om6jZlVnT5Lrr+1/gGhSsTtzFihKUsfiSK/AFAgCLSp2HumO1/OZ6HcJqoSOtqA8CXmzrXttJ
zWNNfK1YTKPS07C4nGII+TvwizipmJOlPtVk8Q44T+oJxlQ5TSW7nh260vZ6bdF/q5QxAUeHQ/G2
H4s9z1nMVB4QN7ArJH03Yx1UwU97lGFYBDmyol6L443re5ukJm5u3NFRRkp6Iy4T5S+zKtiqqCVw
IkGzXcJZBL75Vx0lYN5CJ0DgbeujM+vXhIhtDlVzAQ6D9iDlky7IuJUxZUC3hlezhniwxdLxY6Ul
wejS52buenpn5N2IHUi0Etj5hatg+OVOF2y6sm5OTSai3raZgdDqxa7xSVduQTTpzU0Ngld7h9Ot
hY+KgzgjcsBJudeor8HEmDBcZC1lk6sE4ehxhr1DUibJyzdKkGaqZiFvKemUHR2x7OYNE48uAlmg
ZYHaATLGnB9gyer6FySssmG+ymYKtONFTa5r790i0J5HzgXdeou+Oa9FWvwnz9WYxNOZtSO1LMoC
JOddB51mi4o+rReO6vkddH3aqkfxFXItCFluZ+jqqKOEheykOjfFFEwNcwj1UuWDaJYm3vb6/kpK
KFCbcnm2/1h7TLnRQ1FO0KoQwfjnf603Pr9r7w7+ccGJ1U4/dk/19NMTENn29He5EheOngq50Aci
9vZj8dUl/tYPnb7Qq6flub7RS9NYcsIHrTSXZ1pe59Qlsjveunt8+uEfjnMGF9XS6dUDyJoPygZZ
kUfrtzXDsM8cw6CVi5QruNWzgfzf3v/0q30Z5lPjePDsD0WXtzI9oDDz521BLRLmf+fljy7w58u7
5hkJKQjHSCwvH+SBn7984J5h5ZEKdUh8ywff/38ZgrvHfZKjBQsN4KF9PgSUCNW0HI3mv7MCmGBX
RNGfvzlqcWcGdViK8ZQBvq93Nm2M1t+b+aNx+3PmHf1MB8lESZDKr3yAJnz+/r5z5ps+zqb158r4
zkaBPfvSqbfdMyfgJAV88Zej4LpnBgV5ilCrcVDD/p83AUfzqIzj28cf/gHtSbpV/B0rcHSNP9eC
7Zwx/4brrpv8eC24FlYASEcQUND93hYB7W9e+PqOecbRb+H3cKXne8DVz6hT24Evr74eDd/Z60sz
5xe+PnsA/FAgbZ/VW3KoHIyCdQZqgjiS/5YPLMV3Ngo0DlFG+kWHAJ0DaUBirfaQTfV8FIiXzsBy
+PZyUnxn7w/EA6+Fh3rB+zPLuu2zB1ZLd7QKPP0MuLJNuRbk6/Lx3a0CVjD++8tGwT7DFQQuc+wO
BN6ZYGd0nCW1Cf6Ng+BvnBZ/OMzbOMkeF386eWqeOeXf/IEvc//1BVZXUg4L/MWDnxPvWl35T2/7
nwfHxOLtPvvmF+93uc366+v7fX3ng3t9eakvX7xMnuq7+iGelm9M61O+v9vjk/93dv9Ut3fP/Tzl
6f/5JD/84+A5n837qQvDvmqRFX61le7A98nBHZQn+dI73NzlSVvcH1zZVCvzpZd+/zS82kgLryF5
2D0fG1N5Qv8H1/+dSOMxu8sfX8n/13f39d1jUR/eazlwX3yvAqrt8NS0rz4+1UxKUbPeD+8D8OfL
F/4yCvxjo5+a8PdFf/fq5we0gQ9nRHlNL30LWnrfkbT68piLP6Z885de+UOd5A9Pry4eh7v68dXb
Rubk4Dbq4H/pbbAw908PBxdWZ8lLL/zzXbO7ax/ip+HuIGI11VH90sv/hpRO/sfSmZ6/ADU3IbK8
9A7vu/yu79ovF5KphX4ramSnr/xXxvCPnMHXJvJLLuCvfu3Q/MtPPGRPd/U//wcAAP//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i="0" baseline="0">
              <a:solidFill>
                <a:schemeClr val="accent1">
                  <a:lumMod val="75000"/>
                </a:schemeClr>
              </a:solidFill>
            </a:defRPr>
          </a:pPr>
          <a:endParaRPr lang="en-US" sz="900" b="1" i="0" u="none" strike="noStrike" baseline="0">
            <a:solidFill>
              <a:schemeClr val="accent1">
                <a:lumMod val="75000"/>
              </a:scheme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563450</xdr:colOff>
      <xdr:row>72</xdr:row>
      <xdr:rowOff>124036</xdr:rowOff>
    </xdr:to>
    <xdr:sp macro="" textlink="">
      <xdr:nvSpPr>
        <xdr:cNvPr id="3" name="Rectangle 2">
          <a:extLst>
            <a:ext uri="{FF2B5EF4-FFF2-40B4-BE49-F238E27FC236}">
              <a16:creationId xmlns:a16="http://schemas.microsoft.com/office/drawing/2014/main" id="{9B41DE14-B337-2224-0779-6C9277C481D6}"/>
            </a:ext>
          </a:extLst>
        </xdr:cNvPr>
        <xdr:cNvSpPr/>
      </xdr:nvSpPr>
      <xdr:spPr>
        <a:xfrm>
          <a:off x="0" y="0"/>
          <a:ext cx="16259577" cy="136468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75000"/>
              </a:schemeClr>
            </a:solidFill>
          </a:endParaRPr>
        </a:p>
      </xdr:txBody>
    </xdr:sp>
    <xdr:clientData/>
  </xdr:twoCellAnchor>
  <xdr:twoCellAnchor>
    <xdr:from>
      <xdr:col>4</xdr:col>
      <xdr:colOff>404153</xdr:colOff>
      <xdr:row>7</xdr:row>
      <xdr:rowOff>0</xdr:rowOff>
    </xdr:from>
    <xdr:to>
      <xdr:col>23</xdr:col>
      <xdr:colOff>0</xdr:colOff>
      <xdr:row>38</xdr:row>
      <xdr:rowOff>153589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72BC453-9881-489B-9C5B-361F51D4A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42553" y="1333500"/>
              <a:ext cx="11178247" cy="60590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390146</xdr:colOff>
      <xdr:row>38</xdr:row>
      <xdr:rowOff>144298</xdr:rowOff>
    </xdr:from>
    <xdr:to>
      <xdr:col>17</xdr:col>
      <xdr:colOff>323546</xdr:colOff>
      <xdr:row>72</xdr:row>
      <xdr:rowOff>148511</xdr:rowOff>
    </xdr:to>
    <xdr:graphicFrame macro="">
      <xdr:nvGraphicFramePr>
        <xdr:cNvPr id="5" name="Chart 4">
          <a:extLst>
            <a:ext uri="{FF2B5EF4-FFF2-40B4-BE49-F238E27FC236}">
              <a16:creationId xmlns:a16="http://schemas.microsoft.com/office/drawing/2014/main" id="{29279B1A-29BD-41D3-9E7E-554E6CCE0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285563</xdr:colOff>
      <xdr:row>38</xdr:row>
      <xdr:rowOff>144602</xdr:rowOff>
    </xdr:from>
    <xdr:to>
      <xdr:col>26</xdr:col>
      <xdr:colOff>565031</xdr:colOff>
      <xdr:row>55</xdr:row>
      <xdr:rowOff>135618</xdr:rowOff>
    </xdr:to>
    <xdr:graphicFrame macro="">
      <xdr:nvGraphicFramePr>
        <xdr:cNvPr id="6" name="Chart 5">
          <a:extLst>
            <a:ext uri="{FF2B5EF4-FFF2-40B4-BE49-F238E27FC236}">
              <a16:creationId xmlns:a16="http://schemas.microsoft.com/office/drawing/2014/main" id="{1945D553-3238-4128-9948-E7D22A473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281807</xdr:colOff>
      <xdr:row>55</xdr:row>
      <xdr:rowOff>132112</xdr:rowOff>
    </xdr:from>
    <xdr:to>
      <xdr:col>26</xdr:col>
      <xdr:colOff>565030</xdr:colOff>
      <xdr:row>72</xdr:row>
      <xdr:rowOff>153424</xdr:rowOff>
    </xdr:to>
    <xdr:graphicFrame macro="">
      <xdr:nvGraphicFramePr>
        <xdr:cNvPr id="7" name="Chart 6">
          <a:extLst>
            <a:ext uri="{FF2B5EF4-FFF2-40B4-BE49-F238E27FC236}">
              <a16:creationId xmlns:a16="http://schemas.microsoft.com/office/drawing/2014/main" id="{C0CCBB57-AFE6-46D4-99B6-6E511BEFA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488744</xdr:colOff>
      <xdr:row>15</xdr:row>
      <xdr:rowOff>49099</xdr:rowOff>
    </xdr:from>
    <xdr:to>
      <xdr:col>26</xdr:col>
      <xdr:colOff>154815</xdr:colOff>
      <xdr:row>20</xdr:row>
      <xdr:rowOff>115775</xdr:rowOff>
    </xdr:to>
    <xdr:sp macro="" textlink="">
      <xdr:nvSpPr>
        <xdr:cNvPr id="8" name="Rectangle: Rounded Corners 7">
          <a:extLst>
            <a:ext uri="{FF2B5EF4-FFF2-40B4-BE49-F238E27FC236}">
              <a16:creationId xmlns:a16="http://schemas.microsoft.com/office/drawing/2014/main" id="{881AEB4A-4CC5-EE83-666C-0836B70C378C}"/>
            </a:ext>
          </a:extLst>
        </xdr:cNvPr>
        <xdr:cNvSpPr/>
      </xdr:nvSpPr>
      <xdr:spPr>
        <a:xfrm>
          <a:off x="14363494" y="2906599"/>
          <a:ext cx="1475821" cy="1019176"/>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166687</xdr:colOff>
      <xdr:row>45</xdr:row>
      <xdr:rowOff>63768</xdr:rowOff>
    </xdr:from>
    <xdr:to>
      <xdr:col>3</xdr:col>
      <xdr:colOff>201232</xdr:colOff>
      <xdr:row>52</xdr:row>
      <xdr:rowOff>23812</xdr:rowOff>
    </xdr:to>
    <mc:AlternateContent xmlns:mc="http://schemas.openxmlformats.org/markup-compatibility/2006" xmlns:a14="http://schemas.microsoft.com/office/drawing/2010/main">
      <mc:Choice Requires="a14">
        <xdr:graphicFrame macro="">
          <xdr:nvGraphicFramePr>
            <xdr:cNvPr id="11" name="FatLevel 1">
              <a:extLst>
                <a:ext uri="{FF2B5EF4-FFF2-40B4-BE49-F238E27FC236}">
                  <a16:creationId xmlns:a16="http://schemas.microsoft.com/office/drawing/2014/main" id="{8917D693-62F4-45C4-B20E-C595B541F1D1}"/>
                </a:ext>
              </a:extLst>
            </xdr:cNvPr>
            <xdr:cNvGraphicFramePr/>
          </xdr:nvGraphicFramePr>
          <xdr:xfrm>
            <a:off x="0" y="0"/>
            <a:ext cx="0" cy="0"/>
          </xdr:xfrm>
          <a:graphic>
            <a:graphicData uri="http://schemas.microsoft.com/office/drawing/2010/slicer">
              <sle:slicer xmlns:sle="http://schemas.microsoft.com/office/drawing/2010/slicer" name="FatLevel 1"/>
            </a:graphicData>
          </a:graphic>
        </xdr:graphicFrame>
      </mc:Choice>
      <mc:Fallback xmlns="">
        <xdr:sp macro="" textlink="">
          <xdr:nvSpPr>
            <xdr:cNvPr id="0" name=""/>
            <xdr:cNvSpPr>
              <a:spLocks noTextEdit="1"/>
            </xdr:cNvSpPr>
          </xdr:nvSpPr>
          <xdr:spPr>
            <a:xfrm>
              <a:off x="166687" y="8770213"/>
              <a:ext cx="1351360" cy="1170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166684</xdr:colOff>
      <xdr:row>16</xdr:row>
      <xdr:rowOff>138114</xdr:rowOff>
    </xdr:from>
    <xdr:to>
      <xdr:col>3</xdr:col>
      <xdr:colOff>202405</xdr:colOff>
      <xdr:row>22</xdr:row>
      <xdr:rowOff>176214</xdr:rowOff>
    </xdr:to>
    <mc:AlternateContent xmlns:mc="http://schemas.openxmlformats.org/markup-compatibility/2006" xmlns:a14="http://schemas.microsoft.com/office/drawing/2010/main">
      <mc:Choice Requires="a14">
        <xdr:graphicFrame macro="">
          <xdr:nvGraphicFramePr>
            <xdr:cNvPr id="12" name="Organic 1">
              <a:extLst>
                <a:ext uri="{FF2B5EF4-FFF2-40B4-BE49-F238E27FC236}">
                  <a16:creationId xmlns:a16="http://schemas.microsoft.com/office/drawing/2014/main" id="{460686EE-165E-4ED4-B12D-64CAE6310E1D}"/>
                </a:ext>
              </a:extLst>
            </xdr:cNvPr>
            <xdr:cNvGraphicFramePr/>
          </xdr:nvGraphicFramePr>
          <xdr:xfrm>
            <a:off x="0" y="0"/>
            <a:ext cx="0" cy="0"/>
          </xdr:xfrm>
          <a:graphic>
            <a:graphicData uri="http://schemas.microsoft.com/office/drawing/2010/slicer">
              <sle:slicer xmlns:sle="http://schemas.microsoft.com/office/drawing/2010/slicer" name="Organic 1"/>
            </a:graphicData>
          </a:graphic>
        </xdr:graphicFrame>
      </mc:Choice>
      <mc:Fallback xmlns="">
        <xdr:sp macro="" textlink="">
          <xdr:nvSpPr>
            <xdr:cNvPr id="0" name=""/>
            <xdr:cNvSpPr>
              <a:spLocks noTextEdit="1"/>
            </xdr:cNvSpPr>
          </xdr:nvSpPr>
          <xdr:spPr>
            <a:xfrm>
              <a:off x="166685" y="3233739"/>
              <a:ext cx="1381127" cy="1198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166686</xdr:colOff>
      <xdr:row>23</xdr:row>
      <xdr:rowOff>107682</xdr:rowOff>
    </xdr:from>
    <xdr:to>
      <xdr:col>3</xdr:col>
      <xdr:colOff>202406</xdr:colOff>
      <xdr:row>31</xdr:row>
      <xdr:rowOff>159885</xdr:rowOff>
    </xdr:to>
    <mc:AlternateContent xmlns:mc="http://schemas.openxmlformats.org/markup-compatibility/2006" xmlns:a14="http://schemas.microsoft.com/office/drawing/2010/main">
      <mc:Choice Requires="a14">
        <xdr:graphicFrame macro="">
          <xdr:nvGraphicFramePr>
            <xdr:cNvPr id="13" name="ManufacturingTypeEn 1">
              <a:extLst>
                <a:ext uri="{FF2B5EF4-FFF2-40B4-BE49-F238E27FC236}">
                  <a16:creationId xmlns:a16="http://schemas.microsoft.com/office/drawing/2014/main" id="{76504048-C676-422A-9C52-7B9AA66B2F13}"/>
                </a:ext>
              </a:extLst>
            </xdr:cNvPr>
            <xdr:cNvGraphicFramePr/>
          </xdr:nvGraphicFramePr>
          <xdr:xfrm>
            <a:off x="0" y="0"/>
            <a:ext cx="0" cy="0"/>
          </xdr:xfrm>
          <a:graphic>
            <a:graphicData uri="http://schemas.microsoft.com/office/drawing/2010/slicer">
              <sle:slicer xmlns:sle="http://schemas.microsoft.com/office/drawing/2010/slicer" name="ManufacturingTypeEn 1"/>
            </a:graphicData>
          </a:graphic>
        </xdr:graphicFrame>
      </mc:Choice>
      <mc:Fallback xmlns="">
        <xdr:sp macro="" textlink="">
          <xdr:nvSpPr>
            <xdr:cNvPr id="0" name=""/>
            <xdr:cNvSpPr>
              <a:spLocks noTextEdit="1"/>
            </xdr:cNvSpPr>
          </xdr:nvSpPr>
          <xdr:spPr>
            <a:xfrm>
              <a:off x="166686" y="4557643"/>
              <a:ext cx="1366244" cy="1600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166687</xdr:colOff>
      <xdr:row>32</xdr:row>
      <xdr:rowOff>72796</xdr:rowOff>
    </xdr:from>
    <xdr:to>
      <xdr:col>3</xdr:col>
      <xdr:colOff>190500</xdr:colOff>
      <xdr:row>44</xdr:row>
      <xdr:rowOff>166688</xdr:rowOff>
    </xdr:to>
    <mc:AlternateContent xmlns:mc="http://schemas.openxmlformats.org/markup-compatibility/2006" xmlns:a14="http://schemas.microsoft.com/office/drawing/2010/main">
      <mc:Choice Requires="a14">
        <xdr:graphicFrame macro="">
          <xdr:nvGraphicFramePr>
            <xdr:cNvPr id="14" name="RindTypeEn 1">
              <a:extLst>
                <a:ext uri="{FF2B5EF4-FFF2-40B4-BE49-F238E27FC236}">
                  <a16:creationId xmlns:a16="http://schemas.microsoft.com/office/drawing/2014/main" id="{E0BFB428-7548-4A7E-AE7C-4DC7C2179CD5}"/>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RindTypeEn 1"/>
            </a:graphicData>
          </a:graphic>
        </xdr:graphicFrame>
      </mc:Choice>
      <mc:Fallback xmlns="">
        <xdr:sp macro="" textlink="">
          <xdr:nvSpPr>
            <xdr:cNvPr id="0" name=""/>
            <xdr:cNvSpPr>
              <a:spLocks noTextEdit="1"/>
            </xdr:cNvSpPr>
          </xdr:nvSpPr>
          <xdr:spPr>
            <a:xfrm>
              <a:off x="166687" y="6264046"/>
              <a:ext cx="1351360" cy="2415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20053</xdr:colOff>
      <xdr:row>13</xdr:row>
      <xdr:rowOff>40105</xdr:rowOff>
    </xdr:from>
    <xdr:to>
      <xdr:col>3</xdr:col>
      <xdr:colOff>482395</xdr:colOff>
      <xdr:row>15</xdr:row>
      <xdr:rowOff>18435</xdr:rowOff>
    </xdr:to>
    <xdr:cxnSp macro="">
      <xdr:nvCxnSpPr>
        <xdr:cNvPr id="16" name="Straight Connector 15">
          <a:extLst>
            <a:ext uri="{FF2B5EF4-FFF2-40B4-BE49-F238E27FC236}">
              <a16:creationId xmlns:a16="http://schemas.microsoft.com/office/drawing/2014/main" id="{79C5E08D-061E-4A73-EC5A-8D8D78F69405}"/>
            </a:ext>
          </a:extLst>
        </xdr:cNvPr>
        <xdr:cNvCxnSpPr/>
      </xdr:nvCxnSpPr>
      <xdr:spPr>
        <a:xfrm>
          <a:off x="1847349" y="2516605"/>
          <a:ext cx="462342" cy="359330"/>
        </a:xfrm>
        <a:prstGeom prst="line">
          <a:avLst/>
        </a:prstGeom>
        <a:ln>
          <a:solidFill>
            <a:schemeClr val="bg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23551</xdr:colOff>
      <xdr:row>13</xdr:row>
      <xdr:rowOff>39251</xdr:rowOff>
    </xdr:from>
    <xdr:to>
      <xdr:col>3</xdr:col>
      <xdr:colOff>24299</xdr:colOff>
      <xdr:row>13</xdr:row>
      <xdr:rowOff>39251</xdr:rowOff>
    </xdr:to>
    <xdr:cxnSp macro="">
      <xdr:nvCxnSpPr>
        <xdr:cNvPr id="9" name="Straight Connector 8">
          <a:extLst>
            <a:ext uri="{FF2B5EF4-FFF2-40B4-BE49-F238E27FC236}">
              <a16:creationId xmlns:a16="http://schemas.microsoft.com/office/drawing/2014/main" id="{66152F51-C826-CD12-AA85-CFDDD1613343}"/>
            </a:ext>
          </a:extLst>
        </xdr:cNvPr>
        <xdr:cNvCxnSpPr/>
      </xdr:nvCxnSpPr>
      <xdr:spPr>
        <a:xfrm>
          <a:off x="23551" y="2503116"/>
          <a:ext cx="1823133" cy="0"/>
        </a:xfrm>
        <a:prstGeom prst="line">
          <a:avLst/>
        </a:prstGeom>
        <a:ln>
          <a:solidFill>
            <a:schemeClr val="bg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471391</xdr:colOff>
      <xdr:row>15</xdr:row>
      <xdr:rowOff>16585</xdr:rowOff>
    </xdr:from>
    <xdr:to>
      <xdr:col>4</xdr:col>
      <xdr:colOff>498119</xdr:colOff>
      <xdr:row>15</xdr:row>
      <xdr:rowOff>16585</xdr:rowOff>
    </xdr:to>
    <xdr:cxnSp macro="">
      <xdr:nvCxnSpPr>
        <xdr:cNvPr id="15" name="Straight Connector 14">
          <a:extLst>
            <a:ext uri="{FF2B5EF4-FFF2-40B4-BE49-F238E27FC236}">
              <a16:creationId xmlns:a16="http://schemas.microsoft.com/office/drawing/2014/main" id="{A6ADFFB3-C054-22D4-6C50-B052539132A6}"/>
            </a:ext>
          </a:extLst>
        </xdr:cNvPr>
        <xdr:cNvCxnSpPr/>
      </xdr:nvCxnSpPr>
      <xdr:spPr>
        <a:xfrm>
          <a:off x="2293776" y="2859506"/>
          <a:ext cx="634190" cy="0"/>
        </a:xfrm>
        <a:prstGeom prst="line">
          <a:avLst/>
        </a:prstGeom>
        <a:ln>
          <a:solidFill>
            <a:schemeClr val="bg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23</xdr:col>
      <xdr:colOff>567773</xdr:colOff>
      <xdr:row>27</xdr:row>
      <xdr:rowOff>167644</xdr:rowOff>
    </xdr:from>
    <xdr:to>
      <xdr:col>26</xdr:col>
      <xdr:colOff>233844</xdr:colOff>
      <xdr:row>33</xdr:row>
      <xdr:rowOff>36308</xdr:rowOff>
    </xdr:to>
    <xdr:sp macro="" textlink="">
      <xdr:nvSpPr>
        <xdr:cNvPr id="21" name="Rectangle: Rounded Corners 20">
          <a:extLst>
            <a:ext uri="{FF2B5EF4-FFF2-40B4-BE49-F238E27FC236}">
              <a16:creationId xmlns:a16="http://schemas.microsoft.com/office/drawing/2014/main" id="{7A1FBC13-3C2B-DF9C-6136-F940669CAA28}"/>
            </a:ext>
          </a:extLst>
        </xdr:cNvPr>
        <xdr:cNvSpPr/>
      </xdr:nvSpPr>
      <xdr:spPr>
        <a:xfrm>
          <a:off x="14442523" y="5311144"/>
          <a:ext cx="1475821" cy="1011664"/>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288817</xdr:colOff>
      <xdr:row>45</xdr:row>
      <xdr:rowOff>40251</xdr:rowOff>
    </xdr:from>
    <xdr:to>
      <xdr:col>3</xdr:col>
      <xdr:colOff>582336</xdr:colOff>
      <xdr:row>50</xdr:row>
      <xdr:rowOff>83869</xdr:rowOff>
    </xdr:to>
    <xdr:sp macro="" textlink="">
      <xdr:nvSpPr>
        <xdr:cNvPr id="27" name="TextBox 26">
          <a:extLst>
            <a:ext uri="{FF2B5EF4-FFF2-40B4-BE49-F238E27FC236}">
              <a16:creationId xmlns:a16="http://schemas.microsoft.com/office/drawing/2014/main" id="{192A879F-5665-83C1-1261-87E1CE8C2107}"/>
            </a:ext>
          </a:extLst>
        </xdr:cNvPr>
        <xdr:cNvSpPr txBox="1"/>
      </xdr:nvSpPr>
      <xdr:spPr>
        <a:xfrm rot="-5400000">
          <a:off x="1766318" y="8964050"/>
          <a:ext cx="996118" cy="29351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Fat</a:t>
          </a:r>
          <a:r>
            <a:rPr lang="en-US" sz="1600" b="1" baseline="0">
              <a:solidFill>
                <a:schemeClr val="bg1"/>
              </a:solidFill>
            </a:rPr>
            <a:t> Leve</a:t>
          </a:r>
          <a:r>
            <a:rPr lang="en-US" sz="1200" b="1" baseline="0">
              <a:solidFill>
                <a:schemeClr val="bg1"/>
              </a:solidFill>
            </a:rPr>
            <a:t>l</a:t>
          </a:r>
          <a:endParaRPr lang="en-US" sz="1200" b="1">
            <a:solidFill>
              <a:schemeClr val="bg1"/>
            </a:solidFill>
          </a:endParaRPr>
        </a:p>
      </xdr:txBody>
    </xdr:sp>
    <xdr:clientData/>
  </xdr:twoCellAnchor>
  <xdr:twoCellAnchor>
    <xdr:from>
      <xdr:col>3</xdr:col>
      <xdr:colOff>293571</xdr:colOff>
      <xdr:row>36</xdr:row>
      <xdr:rowOff>112557</xdr:rowOff>
    </xdr:from>
    <xdr:to>
      <xdr:col>4</xdr:col>
      <xdr:colOff>15958</xdr:colOff>
      <xdr:row>41</xdr:row>
      <xdr:rowOff>138486</xdr:rowOff>
    </xdr:to>
    <xdr:sp macro="" textlink="">
      <xdr:nvSpPr>
        <xdr:cNvPr id="28" name="TextBox 27">
          <a:extLst>
            <a:ext uri="{FF2B5EF4-FFF2-40B4-BE49-F238E27FC236}">
              <a16:creationId xmlns:a16="http://schemas.microsoft.com/office/drawing/2014/main" id="{1DCD6335-0579-9EF1-82EA-619D15AF3A42}"/>
            </a:ext>
          </a:extLst>
        </xdr:cNvPr>
        <xdr:cNvSpPr txBox="1"/>
      </xdr:nvSpPr>
      <xdr:spPr>
        <a:xfrm rot="-5400000">
          <a:off x="1799150" y="7293778"/>
          <a:ext cx="978429" cy="33198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Rind \type</a:t>
          </a:r>
          <a:endParaRPr lang="en-US" sz="1200" b="1">
            <a:solidFill>
              <a:schemeClr val="bg1"/>
            </a:solidFill>
          </a:endParaRPr>
        </a:p>
      </xdr:txBody>
    </xdr:sp>
    <xdr:clientData/>
  </xdr:twoCellAnchor>
  <xdr:twoCellAnchor>
    <xdr:from>
      <xdr:col>3</xdr:col>
      <xdr:colOff>280967</xdr:colOff>
      <xdr:row>23</xdr:row>
      <xdr:rowOff>165537</xdr:rowOff>
    </xdr:from>
    <xdr:to>
      <xdr:col>4</xdr:col>
      <xdr:colOff>3354</xdr:colOff>
      <xdr:row>32</xdr:row>
      <xdr:rowOff>41421</xdr:rowOff>
    </xdr:to>
    <xdr:sp macro="" textlink="">
      <xdr:nvSpPr>
        <xdr:cNvPr id="29" name="TextBox 28">
          <a:extLst>
            <a:ext uri="{FF2B5EF4-FFF2-40B4-BE49-F238E27FC236}">
              <a16:creationId xmlns:a16="http://schemas.microsoft.com/office/drawing/2014/main" id="{90450651-23A7-DE87-59B9-2E75FE012D3C}"/>
            </a:ext>
          </a:extLst>
        </xdr:cNvPr>
        <xdr:cNvSpPr txBox="1"/>
      </xdr:nvSpPr>
      <xdr:spPr>
        <a:xfrm rot="-5400000">
          <a:off x="1480569" y="5176235"/>
          <a:ext cx="1590384" cy="33198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Manfacturing</a:t>
          </a:r>
          <a:r>
            <a:rPr lang="en-US" sz="1600" b="1" baseline="0">
              <a:solidFill>
                <a:schemeClr val="bg1"/>
              </a:solidFill>
            </a:rPr>
            <a:t> Type</a:t>
          </a:r>
          <a:endParaRPr lang="en-US" sz="1200" b="1">
            <a:solidFill>
              <a:schemeClr val="bg1"/>
            </a:solidFill>
          </a:endParaRPr>
        </a:p>
      </xdr:txBody>
    </xdr:sp>
    <xdr:clientData/>
  </xdr:twoCellAnchor>
  <xdr:twoCellAnchor>
    <xdr:from>
      <xdr:col>3</xdr:col>
      <xdr:colOff>324079</xdr:colOff>
      <xdr:row>18</xdr:row>
      <xdr:rowOff>58792</xdr:rowOff>
    </xdr:from>
    <xdr:to>
      <xdr:col>4</xdr:col>
      <xdr:colOff>46466</xdr:colOff>
      <xdr:row>22</xdr:row>
      <xdr:rowOff>71631</xdr:rowOff>
    </xdr:to>
    <xdr:sp macro="" textlink="">
      <xdr:nvSpPr>
        <xdr:cNvPr id="30" name="TextBox 29">
          <a:extLst>
            <a:ext uri="{FF2B5EF4-FFF2-40B4-BE49-F238E27FC236}">
              <a16:creationId xmlns:a16="http://schemas.microsoft.com/office/drawing/2014/main" id="{4E9D2C4E-FE33-6D01-6EEC-5EC5B874C834}"/>
            </a:ext>
          </a:extLst>
        </xdr:cNvPr>
        <xdr:cNvSpPr txBox="1"/>
      </xdr:nvSpPr>
      <xdr:spPr>
        <a:xfrm rot="-5400000">
          <a:off x="1931453" y="3709218"/>
          <a:ext cx="774839" cy="33198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bg1"/>
              </a:solidFill>
            </a:rPr>
            <a:t>Oragnic</a:t>
          </a:r>
          <a:endParaRPr lang="en-US" sz="1200" b="1">
            <a:solidFill>
              <a:schemeClr val="bg1"/>
            </a:solidFill>
          </a:endParaRPr>
        </a:p>
      </xdr:txBody>
    </xdr:sp>
    <xdr:clientData/>
  </xdr:twoCellAnchor>
  <xdr:twoCellAnchor>
    <xdr:from>
      <xdr:col>0</xdr:col>
      <xdr:colOff>448679</xdr:colOff>
      <xdr:row>10</xdr:row>
      <xdr:rowOff>146538</xdr:rowOff>
    </xdr:from>
    <xdr:to>
      <xdr:col>2</xdr:col>
      <xdr:colOff>251210</xdr:colOff>
      <xdr:row>12</xdr:row>
      <xdr:rowOff>164771</xdr:rowOff>
    </xdr:to>
    <xdr:sp macro="" textlink="">
      <xdr:nvSpPr>
        <xdr:cNvPr id="31" name="TextBox 30">
          <a:extLst>
            <a:ext uri="{FF2B5EF4-FFF2-40B4-BE49-F238E27FC236}">
              <a16:creationId xmlns:a16="http://schemas.microsoft.com/office/drawing/2014/main" id="{AEC96B75-C569-DE6E-1F03-2590E0CF746B}"/>
            </a:ext>
          </a:extLst>
        </xdr:cNvPr>
        <xdr:cNvSpPr txBox="1"/>
      </xdr:nvSpPr>
      <xdr:spPr>
        <a:xfrm>
          <a:off x="448679" y="1674725"/>
          <a:ext cx="1021940" cy="400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chemeClr val="bg1"/>
              </a:solidFill>
            </a:rPr>
            <a:t>Filter</a:t>
          </a:r>
          <a:endParaRPr lang="en-US" sz="1100" b="1">
            <a:solidFill>
              <a:schemeClr val="bg1"/>
            </a:solidFill>
          </a:endParaRPr>
        </a:p>
      </xdr:txBody>
    </xdr:sp>
    <xdr:clientData/>
  </xdr:twoCellAnchor>
  <xdr:twoCellAnchor>
    <xdr:from>
      <xdr:col>24</xdr:col>
      <xdr:colOff>285264</xdr:colOff>
      <xdr:row>29</xdr:row>
      <xdr:rowOff>48081</xdr:rowOff>
    </xdr:from>
    <xdr:to>
      <xdr:col>26</xdr:col>
      <xdr:colOff>17645</xdr:colOff>
      <xdr:row>31</xdr:row>
      <xdr:rowOff>160445</xdr:rowOff>
    </xdr:to>
    <xdr:sp macro="" textlink="">
      <xdr:nvSpPr>
        <xdr:cNvPr id="34" name="TextBox 33">
          <a:extLst>
            <a:ext uri="{FF2B5EF4-FFF2-40B4-BE49-F238E27FC236}">
              <a16:creationId xmlns:a16="http://schemas.microsoft.com/office/drawing/2014/main" id="{C267C603-D1B2-25AC-5C65-365A90D63D30}"/>
            </a:ext>
          </a:extLst>
        </xdr:cNvPr>
        <xdr:cNvSpPr txBox="1"/>
      </xdr:nvSpPr>
      <xdr:spPr>
        <a:xfrm>
          <a:off x="14763264" y="5572581"/>
          <a:ext cx="938881" cy="49336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rPr>
            <a:t>47%</a:t>
          </a:r>
        </a:p>
      </xdr:txBody>
    </xdr:sp>
    <xdr:clientData/>
  </xdr:twoCellAnchor>
  <xdr:twoCellAnchor>
    <xdr:from>
      <xdr:col>24</xdr:col>
      <xdr:colOff>247910</xdr:colOff>
      <xdr:row>16</xdr:row>
      <xdr:rowOff>93951</xdr:rowOff>
    </xdr:from>
    <xdr:to>
      <xdr:col>25</xdr:col>
      <xdr:colOff>592473</xdr:colOff>
      <xdr:row>19</xdr:row>
      <xdr:rowOff>609</xdr:rowOff>
    </xdr:to>
    <xdr:sp macro="" textlink="">
      <xdr:nvSpPr>
        <xdr:cNvPr id="35" name="TextBox 34">
          <a:extLst>
            <a:ext uri="{FF2B5EF4-FFF2-40B4-BE49-F238E27FC236}">
              <a16:creationId xmlns:a16="http://schemas.microsoft.com/office/drawing/2014/main" id="{E2F9F673-923B-A599-0E24-DFC6C7FECBE7}"/>
            </a:ext>
          </a:extLst>
        </xdr:cNvPr>
        <xdr:cNvSpPr txBox="1"/>
      </xdr:nvSpPr>
      <xdr:spPr>
        <a:xfrm>
          <a:off x="14725910" y="3141951"/>
          <a:ext cx="947813" cy="4781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rPr>
            <a:t>970</a:t>
          </a:r>
        </a:p>
      </xdr:txBody>
    </xdr:sp>
    <xdr:clientData/>
  </xdr:twoCellAnchor>
  <xdr:twoCellAnchor>
    <xdr:from>
      <xdr:col>23</xdr:col>
      <xdr:colOff>250578</xdr:colOff>
      <xdr:row>24</xdr:row>
      <xdr:rowOff>15740</xdr:rowOff>
    </xdr:from>
    <xdr:to>
      <xdr:col>26</xdr:col>
      <xdr:colOff>426688</xdr:colOff>
      <xdr:row>27</xdr:row>
      <xdr:rowOff>51881</xdr:rowOff>
    </xdr:to>
    <xdr:sp macro="" textlink="">
      <xdr:nvSpPr>
        <xdr:cNvPr id="36" name="TextBox 35">
          <a:extLst>
            <a:ext uri="{FF2B5EF4-FFF2-40B4-BE49-F238E27FC236}">
              <a16:creationId xmlns:a16="http://schemas.microsoft.com/office/drawing/2014/main" id="{8A19581F-2773-296D-ACAA-0E75A1E4D0F7}"/>
            </a:ext>
          </a:extLst>
        </xdr:cNvPr>
        <xdr:cNvSpPr txBox="1"/>
      </xdr:nvSpPr>
      <xdr:spPr>
        <a:xfrm>
          <a:off x="14125328" y="4587740"/>
          <a:ext cx="1985860" cy="60764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TOTAL AVERAGE CHEESE</a:t>
          </a:r>
          <a:br>
            <a:rPr lang="en-US" sz="1400" b="1" baseline="0">
              <a:solidFill>
                <a:schemeClr val="bg1"/>
              </a:solidFill>
            </a:rPr>
          </a:br>
          <a:r>
            <a:rPr lang="en-US" sz="1400" b="1" baseline="0">
              <a:solidFill>
                <a:schemeClr val="bg1"/>
              </a:solidFill>
            </a:rPr>
            <a:t>MOISTURE PERCENTAGE</a:t>
          </a:r>
          <a:endParaRPr lang="en-US" sz="1100" b="1">
            <a:solidFill>
              <a:schemeClr val="bg1"/>
            </a:solidFill>
          </a:endParaRPr>
        </a:p>
      </xdr:txBody>
    </xdr:sp>
    <xdr:clientData/>
  </xdr:twoCellAnchor>
  <xdr:twoCellAnchor>
    <xdr:from>
      <xdr:col>34</xdr:col>
      <xdr:colOff>120763</xdr:colOff>
      <xdr:row>15</xdr:row>
      <xdr:rowOff>151135</xdr:rowOff>
    </xdr:from>
    <xdr:to>
      <xdr:col>36</xdr:col>
      <xdr:colOff>549910</xdr:colOff>
      <xdr:row>18</xdr:row>
      <xdr:rowOff>47730</xdr:rowOff>
    </xdr:to>
    <xdr:sp macro="" textlink="">
      <xdr:nvSpPr>
        <xdr:cNvPr id="37" name="TextBox 36">
          <a:extLst>
            <a:ext uri="{FF2B5EF4-FFF2-40B4-BE49-F238E27FC236}">
              <a16:creationId xmlns:a16="http://schemas.microsoft.com/office/drawing/2014/main" id="{9D4FF818-38EF-72A1-BAFD-835064646ECE}"/>
            </a:ext>
          </a:extLst>
        </xdr:cNvPr>
        <xdr:cNvSpPr txBox="1"/>
      </xdr:nvSpPr>
      <xdr:spPr>
        <a:xfrm>
          <a:off x="20761752" y="2600421"/>
          <a:ext cx="1643323" cy="4618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solidFill>
                <a:schemeClr val="bg1"/>
              </a:solidFill>
            </a:rPr>
            <a:t>TOTAL AVERAGE CHEESE</a:t>
          </a:r>
          <a:br>
            <a:rPr lang="en-US" sz="1100" b="1" baseline="0">
              <a:solidFill>
                <a:schemeClr val="bg1"/>
              </a:solidFill>
            </a:rPr>
          </a:br>
          <a:r>
            <a:rPr lang="en-US" sz="1100" b="1" baseline="0">
              <a:solidFill>
                <a:schemeClr val="bg1"/>
              </a:solidFill>
            </a:rPr>
            <a:t>MOISTURE PERCENTAGE</a:t>
          </a:r>
          <a:endParaRPr lang="en-US" sz="1000" b="1">
            <a:solidFill>
              <a:schemeClr val="bg1"/>
            </a:solidFill>
          </a:endParaRPr>
        </a:p>
      </xdr:txBody>
    </xdr:sp>
    <xdr:clientData/>
  </xdr:twoCellAnchor>
  <xdr:twoCellAnchor>
    <xdr:from>
      <xdr:col>23</xdr:col>
      <xdr:colOff>180811</xdr:colOff>
      <xdr:row>12</xdr:row>
      <xdr:rowOff>22719</xdr:rowOff>
    </xdr:from>
    <xdr:to>
      <xdr:col>26</xdr:col>
      <xdr:colOff>565113</xdr:colOff>
      <xdr:row>14</xdr:row>
      <xdr:rowOff>176118</xdr:rowOff>
    </xdr:to>
    <xdr:sp macro="" textlink="">
      <xdr:nvSpPr>
        <xdr:cNvPr id="38" name="TextBox 37">
          <a:extLst>
            <a:ext uri="{FF2B5EF4-FFF2-40B4-BE49-F238E27FC236}">
              <a16:creationId xmlns:a16="http://schemas.microsoft.com/office/drawing/2014/main" id="{E86FB32F-3D6A-4230-9539-E664E07BCCB6}"/>
            </a:ext>
          </a:extLst>
        </xdr:cNvPr>
        <xdr:cNvSpPr txBox="1"/>
      </xdr:nvSpPr>
      <xdr:spPr>
        <a:xfrm>
          <a:off x="14055561" y="2308719"/>
          <a:ext cx="2194052" cy="5343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TOTAL VARIETY OF CHEESE</a:t>
          </a:r>
          <a:endParaRPr lang="en-US" sz="1100" b="1">
            <a:solidFill>
              <a:schemeClr val="bg1"/>
            </a:solidFill>
          </a:endParaRPr>
        </a:p>
      </xdr:txBody>
    </xdr:sp>
    <xdr:clientData/>
  </xdr:twoCellAnchor>
  <xdr:twoCellAnchor>
    <xdr:from>
      <xdr:col>4</xdr:col>
      <xdr:colOff>388930</xdr:colOff>
      <xdr:row>3</xdr:row>
      <xdr:rowOff>94845</xdr:rowOff>
    </xdr:from>
    <xdr:to>
      <xdr:col>15</xdr:col>
      <xdr:colOff>534082</xdr:colOff>
      <xdr:row>7</xdr:row>
      <xdr:rowOff>94856</xdr:rowOff>
    </xdr:to>
    <xdr:sp macro="" textlink="">
      <xdr:nvSpPr>
        <xdr:cNvPr id="39" name="TextBox 38">
          <a:extLst>
            <a:ext uri="{FF2B5EF4-FFF2-40B4-BE49-F238E27FC236}">
              <a16:creationId xmlns:a16="http://schemas.microsoft.com/office/drawing/2014/main" id="{3ECC8229-3C7E-D0CE-3F40-990FD4B8F871}"/>
            </a:ext>
          </a:extLst>
        </xdr:cNvPr>
        <xdr:cNvSpPr txBox="1"/>
      </xdr:nvSpPr>
      <xdr:spPr>
        <a:xfrm>
          <a:off x="2838216" y="656140"/>
          <a:ext cx="6880687" cy="74840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baseline="0">
              <a:solidFill>
                <a:schemeClr val="bg1"/>
              </a:solidFill>
            </a:rPr>
            <a:t>CANADIAN</a:t>
          </a:r>
          <a:r>
            <a:rPr lang="en-US" sz="4000" b="1" baseline="0">
              <a:solidFill>
                <a:schemeClr val="bg1"/>
              </a:solidFill>
            </a:rPr>
            <a:t> CHEESE     </a:t>
          </a:r>
          <a:r>
            <a:rPr lang="en-US" sz="2800" b="0" baseline="0">
              <a:solidFill>
                <a:schemeClr val="bg1"/>
              </a:solidFill>
            </a:rPr>
            <a:t>DASHBOARD</a:t>
          </a:r>
          <a:endParaRPr lang="en-US" sz="3200" b="0">
            <a:solidFill>
              <a:schemeClr val="bg1"/>
            </a:solidFill>
          </a:endParaRPr>
        </a:p>
      </xdr:txBody>
    </xdr:sp>
    <xdr:clientData/>
  </xdr:twoCellAnchor>
  <xdr:twoCellAnchor>
    <xdr:from>
      <xdr:col>11</xdr:col>
      <xdr:colOff>474571</xdr:colOff>
      <xdr:row>3</xdr:row>
      <xdr:rowOff>152035</xdr:rowOff>
    </xdr:from>
    <xdr:to>
      <xdr:col>11</xdr:col>
      <xdr:colOff>475333</xdr:colOff>
      <xdr:row>6</xdr:row>
      <xdr:rowOff>75840</xdr:rowOff>
    </xdr:to>
    <xdr:cxnSp macro="">
      <xdr:nvCxnSpPr>
        <xdr:cNvPr id="40" name="Straight Connector 39">
          <a:extLst>
            <a:ext uri="{FF2B5EF4-FFF2-40B4-BE49-F238E27FC236}">
              <a16:creationId xmlns:a16="http://schemas.microsoft.com/office/drawing/2014/main" id="{9B38C12A-C1D0-830A-0772-5247FA51B552}"/>
            </a:ext>
          </a:extLst>
        </xdr:cNvPr>
        <xdr:cNvCxnSpPr/>
      </xdr:nvCxnSpPr>
      <xdr:spPr>
        <a:xfrm flipH="1">
          <a:off x="7210107" y="713330"/>
          <a:ext cx="762" cy="485099"/>
        </a:xfrm>
        <a:prstGeom prst="line">
          <a:avLst/>
        </a:prstGeom>
        <a:ln w="28575">
          <a:solidFill>
            <a:schemeClr val="bg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0</xdr:col>
      <xdr:colOff>193477</xdr:colOff>
      <xdr:row>11</xdr:row>
      <xdr:rowOff>89297</xdr:rowOff>
    </xdr:from>
    <xdr:to>
      <xdr:col>0</xdr:col>
      <xdr:colOff>461367</xdr:colOff>
      <xdr:row>12</xdr:row>
      <xdr:rowOff>163710</xdr:rowOff>
    </xdr:to>
    <xdr:pic>
      <xdr:nvPicPr>
        <xdr:cNvPr id="18" name="Picture 17">
          <a:extLst>
            <a:ext uri="{FF2B5EF4-FFF2-40B4-BE49-F238E27FC236}">
              <a16:creationId xmlns:a16="http://schemas.microsoft.com/office/drawing/2014/main" id="{68889C70-A3A0-874C-D7E8-594A1711383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193477" y="2217539"/>
          <a:ext cx="267890" cy="2678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lla" refreshedDate="45607.125555439816" createdVersion="8" refreshedVersion="8" minRefreshableVersion="3" recordCount="1042" xr:uid="{44D91641-6C5C-4C0B-82F6-12E04C1C106D}">
  <cacheSource type="worksheet">
    <worksheetSource name="cheese_data"/>
  </cacheSource>
  <cacheFields count="15">
    <cacheField name="CheeseId" numFmtId="0">
      <sharedItems containsSemiMixedTypes="0" containsString="0" containsNumber="1" containsInteger="1" minValue="228" maxValue="2391"/>
    </cacheField>
    <cacheField name="ManufacturerProvCode" numFmtId="0">
      <sharedItems/>
    </cacheField>
    <cacheField name="ManufacturerProvName" numFmtId="0">
      <sharedItems count="12">
        <s v="New Brunswick"/>
        <s v="Ontario"/>
        <s v="British Columbia"/>
        <s v="Alberta"/>
        <s v="Nova Scotia"/>
        <s v="Manitoba"/>
        <s v="Newfoundland and Labrador"/>
        <s v="Prince Edward Island"/>
        <s v="Quebec"/>
        <s v="Saskatchewan"/>
        <s v="Manitobia" u="1"/>
        <s v="Qubec" u="1"/>
      </sharedItems>
    </cacheField>
    <cacheField name="ManufacturingTypeEn" numFmtId="0">
      <sharedItems count="3">
        <s v="Farmstead"/>
        <s v="Industrial"/>
        <s v="Artisan"/>
      </sharedItems>
    </cacheField>
    <cacheField name="MoisturePercent" numFmtId="164">
      <sharedItems containsSemiMixedTypes="0" containsString="0" containsNumber="1" minValue="12" maxValue="92"/>
    </cacheField>
    <cacheField name="FlavourEn" numFmtId="0">
      <sharedItems/>
    </cacheField>
    <cacheField name="CharacteristicsEn" numFmtId="0">
      <sharedItems/>
    </cacheField>
    <cacheField name="Organic" numFmtId="0">
      <sharedItems count="2">
        <s v="No"/>
        <s v="Yes"/>
      </sharedItems>
    </cacheField>
    <cacheField name="CategoryTypeEn" numFmtId="0">
      <sharedItems count="7">
        <s v="Firm Cheese"/>
        <s v="Semi-soft Cheese"/>
        <s v="Veined Cheeses"/>
        <s v="Fresh Cheese"/>
        <s v="Soft Cheese"/>
        <s v="Hard Cheese"/>
        <s v=""/>
      </sharedItems>
    </cacheField>
    <cacheField name="MilkTypeEn" numFmtId="0">
      <sharedItems count="9">
        <s v="Ewe"/>
        <s v="Cow"/>
        <s v="Goat"/>
        <s v="Cow and Goat"/>
        <s v="Ewe and Cow"/>
        <s v="Ewe and Goat"/>
        <s v="Buffalo Cow"/>
        <s v="Cow, Goat and Ewe"/>
        <s v=""/>
      </sharedItems>
    </cacheField>
    <cacheField name="MilkTreatmentTypeEn" numFmtId="0">
      <sharedItems/>
    </cacheField>
    <cacheField name="RindTypeEn" numFmtId="0">
      <sharedItems count="5">
        <s v="Washed Rind"/>
        <s v=""/>
        <s v="Bloomy Rind"/>
        <s v="No Rind"/>
        <s v="Brushed Rind"/>
      </sharedItems>
    </cacheField>
    <cacheField name="CheeseName" numFmtId="0">
      <sharedItems/>
    </cacheField>
    <cacheField name="FatLevel" numFmtId="0">
      <sharedItems count="2">
        <s v="lower fat"/>
        <s v="higher fat"/>
      </sharedItems>
    </cacheField>
    <cacheField name="Province" numFmtId="0">
      <sharedItems/>
    </cacheField>
  </cacheFields>
  <extLst>
    <ext xmlns:x14="http://schemas.microsoft.com/office/spreadsheetml/2009/9/main" uri="{725AE2AE-9491-48be-B2B4-4EB974FC3084}">
      <x14:pivotCacheDefinition pivotCacheId="2112717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n v="228"/>
    <s v="NB"/>
    <x v="0"/>
    <x v="0"/>
    <n v="47"/>
    <s v="Sharp, lactic"/>
    <s v="Uncooked"/>
    <x v="0"/>
    <x v="0"/>
    <x v="0"/>
    <s v="Raw Milk"/>
    <x v="0"/>
    <s v="Sieur de Duplessis (Le)"/>
    <x v="0"/>
    <s v="New Brunswick"/>
  </r>
  <r>
    <n v="242"/>
    <s v="NB"/>
    <x v="0"/>
    <x v="0"/>
    <n v="47.9"/>
    <s v="Sharp, lactic, lightly caramelized"/>
    <s v="Uncooked"/>
    <x v="0"/>
    <x v="1"/>
    <x v="1"/>
    <s v="Raw Milk"/>
    <x v="0"/>
    <s v="Tomme Le Champ Doré"/>
    <x v="0"/>
    <s v="New Brunswick"/>
  </r>
  <r>
    <n v="301"/>
    <s v="ON"/>
    <x v="1"/>
    <x v="1"/>
    <n v="54"/>
    <s v="Mild, tangy, and fruity"/>
    <s v="Pressed and cooked cheese, pasta filata, interiror ripened"/>
    <x v="0"/>
    <x v="0"/>
    <x v="1"/>
    <s v="Pasteurized"/>
    <x v="1"/>
    <s v="Provolone Sette Fette (Tre-Stelle)"/>
    <x v="0"/>
    <s v="Ontario"/>
  </r>
  <r>
    <n v="303"/>
    <s v="NB"/>
    <x v="0"/>
    <x v="0"/>
    <n v="47"/>
    <s v="Sharp with fruity notes and a hint of wild honey"/>
    <s v=""/>
    <x v="0"/>
    <x v="2"/>
    <x v="1"/>
    <s v="Raw Milk"/>
    <x v="1"/>
    <s v="Geai Bleu (Le)"/>
    <x v="0"/>
    <s v="New Brunswick"/>
  </r>
  <r>
    <n v="319"/>
    <s v="NB"/>
    <x v="0"/>
    <x v="0"/>
    <n v="49.4"/>
    <s v="Softer taste"/>
    <s v=""/>
    <x v="1"/>
    <x v="1"/>
    <x v="1"/>
    <s v="Raw Milk"/>
    <x v="0"/>
    <s v="Gamin (Le)"/>
    <x v="0"/>
    <s v="New Brunswick"/>
  </r>
  <r>
    <n v="350"/>
    <s v="NB"/>
    <x v="0"/>
    <x v="1"/>
    <n v="48"/>
    <s v=""/>
    <s v="Classic fresh cooking cheeses"/>
    <x v="0"/>
    <x v="3"/>
    <x v="1"/>
    <s v="Pasteurized"/>
    <x v="1"/>
    <s v="Paneer (Northumberland Co-operative)"/>
    <x v="0"/>
    <s v="New Brunswick"/>
  </r>
  <r>
    <n v="374"/>
    <s v="ON"/>
    <x v="1"/>
    <x v="1"/>
    <n v="52"/>
    <s v="Rich, creamy, buttery, both subtle and tangy in taste"/>
    <s v=""/>
    <x v="0"/>
    <x v="4"/>
    <x v="2"/>
    <s v="Pasteurized"/>
    <x v="2"/>
    <s v="Goat Brie (Woolwich)"/>
    <x v="0"/>
    <s v="Ontario"/>
  </r>
  <r>
    <n v="375"/>
    <s v="ON"/>
    <x v="1"/>
    <x v="1"/>
    <n v="41"/>
    <s v="Mild"/>
    <s v="Whitem, smooth, firm textured"/>
    <x v="0"/>
    <x v="0"/>
    <x v="2"/>
    <s v="Pasteurized"/>
    <x v="1"/>
    <s v="Goat Cheddar (Woolwich)"/>
    <x v="0"/>
    <s v="Ontario"/>
  </r>
  <r>
    <n v="376"/>
    <s v="ON"/>
    <x v="1"/>
    <x v="1"/>
    <n v="50"/>
    <s v="Mild"/>
    <s v=""/>
    <x v="0"/>
    <x v="1"/>
    <x v="2"/>
    <s v="Pasteurized"/>
    <x v="1"/>
    <s v="Goat Mozarella (Woolwich)"/>
    <x v="0"/>
    <s v="Ontario"/>
  </r>
  <r>
    <n v="378"/>
    <s v="ON"/>
    <x v="1"/>
    <x v="1"/>
    <n v="55"/>
    <s v="Sharp, tangy, salty"/>
    <s v="With or without brine"/>
    <x v="0"/>
    <x v="4"/>
    <x v="2"/>
    <s v="Pasteurized"/>
    <x v="1"/>
    <s v="Goat Feta (Woolwich)"/>
    <x v="0"/>
    <s v="Ontario"/>
  </r>
  <r>
    <n v="379"/>
    <s v="ON"/>
    <x v="1"/>
    <x v="1"/>
    <n v="57"/>
    <s v="Rich and creamy"/>
    <s v="Fresh cheese"/>
    <x v="0"/>
    <x v="3"/>
    <x v="2"/>
    <s v="Pasteurized"/>
    <x v="1"/>
    <s v="Madame Chèvre Elite"/>
    <x v="0"/>
    <s v="Ontario"/>
  </r>
  <r>
    <n v="414"/>
    <s v="BC"/>
    <x v="2"/>
    <x v="0"/>
    <n v="34"/>
    <s v=""/>
    <s v="Organic. Made with Jersey Milk as such very rich, creamy and pleasing colour"/>
    <x v="1"/>
    <x v="1"/>
    <x v="1"/>
    <s v="Raw Milk"/>
    <x v="1"/>
    <s v="Gouda (Jerseyland Organic)"/>
    <x v="1"/>
    <s v="British Columbia"/>
  </r>
  <r>
    <n v="415"/>
    <s v="BC"/>
    <x v="2"/>
    <x v="0"/>
    <n v="34"/>
    <s v=""/>
    <s v="Organic. No dye/colour added.  Made from Jersey Milk"/>
    <x v="1"/>
    <x v="1"/>
    <x v="1"/>
    <s v="Raw Milk"/>
    <x v="1"/>
    <s v="Cheddar (Jerseyland Organic)"/>
    <x v="1"/>
    <s v="British Columbia"/>
  </r>
  <r>
    <n v="416"/>
    <s v="BC"/>
    <x v="2"/>
    <x v="0"/>
    <n v="33"/>
    <s v=""/>
    <s v="Organic. Our grana's are Parmesan and Asiago; these are from our own Jersey milk. No colouring added"/>
    <x v="1"/>
    <x v="5"/>
    <x v="1"/>
    <s v="Raw Milk"/>
    <x v="1"/>
    <s v="Grana (Jerseyland Organic)"/>
    <x v="1"/>
    <s v="British Columbia"/>
  </r>
  <r>
    <n v="417"/>
    <s v="BC"/>
    <x v="2"/>
    <x v="0"/>
    <n v="43"/>
    <s v="Creamy and rich tasting.  Creamy in colour due to the carotene in Jersey milk"/>
    <s v="Organic. Made with Jersey milk"/>
    <x v="1"/>
    <x v="4"/>
    <x v="1"/>
    <s v="Raw Milk"/>
    <x v="1"/>
    <s v="Feta (Jerseyland Organic)"/>
    <x v="1"/>
    <s v="British Columbia"/>
  </r>
  <r>
    <n v="418"/>
    <s v="BC"/>
    <x v="2"/>
    <x v="0"/>
    <n v="34"/>
    <s v="Available : Plain , garlic and dill, mixed herbs"/>
    <s v="Organic"/>
    <x v="1"/>
    <x v="1"/>
    <x v="2"/>
    <s v="Raw Milk"/>
    <x v="1"/>
    <s v="Udderly Organic Goat Gouda (Jerseyland Organic)"/>
    <x v="1"/>
    <s v="British Columbia"/>
  </r>
  <r>
    <n v="419"/>
    <s v="BC"/>
    <x v="2"/>
    <x v="0"/>
    <n v="43"/>
    <s v="Available : Plain,  sundried tomato and herbs"/>
    <s v="Organic"/>
    <x v="1"/>
    <x v="4"/>
    <x v="2"/>
    <s v="Raw Milk"/>
    <x v="1"/>
    <s v="Udderly Organic Goat Feta (Jerseyland Organic)"/>
    <x v="1"/>
    <s v="British Columbia"/>
  </r>
  <r>
    <n v="629"/>
    <s v="BC"/>
    <x v="2"/>
    <x v="2"/>
    <n v="41"/>
    <s v="Spiked with a slightly warm, premium, cracked black pepper"/>
    <s v="Ripened, creamy cheese"/>
    <x v="0"/>
    <x v="0"/>
    <x v="1"/>
    <s v="Pasteurized"/>
    <x v="1"/>
    <s v="Cracked Pepper Verdelait"/>
    <x v="1"/>
    <s v="British Columbia"/>
  </r>
  <r>
    <n v="630"/>
    <s v="BC"/>
    <x v="2"/>
    <x v="2"/>
    <n v="41"/>
    <s v="Mild flavour of sweet butter and a delicate, smokey, exotic, lemony finish"/>
    <s v=""/>
    <x v="0"/>
    <x v="0"/>
    <x v="1"/>
    <s v="Pasteurized"/>
    <x v="1"/>
    <s v="Cumin Verdelait"/>
    <x v="1"/>
    <s v="British Columbia"/>
  </r>
  <r>
    <n v="631"/>
    <s v="BC"/>
    <x v="2"/>
    <x v="2"/>
    <n v="41"/>
    <s v="Flavourful blend of garlic and chives"/>
    <s v=""/>
    <x v="0"/>
    <x v="0"/>
    <x v="1"/>
    <s v="Pasteurized"/>
    <x v="1"/>
    <s v="Garlic and Chive Verdelait"/>
    <x v="1"/>
    <s v="British Columbia"/>
  </r>
  <r>
    <n v="632"/>
    <s v="BC"/>
    <x v="2"/>
    <x v="2"/>
    <n v="41"/>
    <s v="Ginger, garlic and local organic wasabi."/>
    <s v=""/>
    <x v="0"/>
    <x v="0"/>
    <x v="1"/>
    <s v="Pasteurized"/>
    <x v="1"/>
    <s v="Wasabi Verdelait"/>
    <x v="1"/>
    <s v="British Columbia"/>
  </r>
  <r>
    <n v="648"/>
    <s v="BC"/>
    <x v="2"/>
    <x v="2"/>
    <n v="48"/>
    <s v="Creamy with a note of mushroom"/>
    <s v="Ripened,"/>
    <x v="0"/>
    <x v="4"/>
    <x v="1"/>
    <s v="Pasteurized"/>
    <x v="1"/>
    <s v="Comox Camembert"/>
    <x v="0"/>
    <s v="British Columbia"/>
  </r>
  <r>
    <n v="655"/>
    <s v="ON"/>
    <x v="1"/>
    <x v="1"/>
    <n v="45"/>
    <s v="Mild to sharp with light smoky flavour Also available with Omega 3"/>
    <s v="Supple and smooth with a golden-yellow waxed rind"/>
    <x v="0"/>
    <x v="0"/>
    <x v="1"/>
    <s v="Pasteurized"/>
    <x v="1"/>
    <s v="Provolone (Silani)"/>
    <x v="0"/>
    <s v="Ontario"/>
  </r>
  <r>
    <n v="656"/>
    <s v="ON"/>
    <x v="1"/>
    <x v="1"/>
    <n v="80"/>
    <s v="Milky Also available with Omega 3"/>
    <s v="Granular, creamy and soft in texture"/>
    <x v="0"/>
    <x v="3"/>
    <x v="1"/>
    <s v="Pasteurized"/>
    <x v="3"/>
    <s v="Ricotta (Silani)"/>
    <x v="0"/>
    <s v="Ontario"/>
  </r>
  <r>
    <n v="657"/>
    <s v="AB"/>
    <x v="3"/>
    <x v="0"/>
    <n v="43"/>
    <s v="Basil, black pepper, black pepper and garlic, cumin, dill, fenugreek, friesian cloves, green peppercorn, greeen peppecorn with cayenne, italian herbs"/>
    <s v="Mild, medium, aged"/>
    <x v="0"/>
    <x v="0"/>
    <x v="1"/>
    <s v="Pasteurized"/>
    <x v="1"/>
    <s v="Gouda (Sylvan Star Ltd.)"/>
    <x v="0"/>
    <s v="Alberta"/>
  </r>
  <r>
    <n v="658"/>
    <s v="ON"/>
    <x v="1"/>
    <x v="0"/>
    <n v="39"/>
    <s v="Mild and sweet, nutty and buttery flavour."/>
    <s v="Made from Guernsey milk."/>
    <x v="0"/>
    <x v="1"/>
    <x v="1"/>
    <s v="Pasteurized"/>
    <x v="0"/>
    <s v="Niagara Gold"/>
    <x v="1"/>
    <s v="Ontario"/>
  </r>
  <r>
    <n v="662"/>
    <s v="ON"/>
    <x v="1"/>
    <x v="1"/>
    <n v="39"/>
    <s v=""/>
    <s v=""/>
    <x v="0"/>
    <x v="0"/>
    <x v="1"/>
    <s v="Pasteurized"/>
    <x v="3"/>
    <s v="Cheddar (Balderson)"/>
    <x v="1"/>
    <s v="Ontario"/>
  </r>
  <r>
    <n v="663"/>
    <s v="ON"/>
    <x v="1"/>
    <x v="1"/>
    <n v="39"/>
    <s v="Five peppers, garlic, dill, chives, fine herbs and tomato, apple etc"/>
    <s v="Curds, mild, medium, old, extra old, extra old 5 years."/>
    <x v="0"/>
    <x v="0"/>
    <x v="1"/>
    <s v="Pasteurized"/>
    <x v="1"/>
    <s v="Cheddars (Fromagerie St-Albert)"/>
    <x v="1"/>
    <s v="Ontario"/>
  </r>
  <r>
    <n v="664"/>
    <s v="NS"/>
    <x v="4"/>
    <x v="0"/>
    <n v="42"/>
    <s v="Mild, medium, old, caraway, cumin, cumin and cloves, fines herbs, garlic, pepper mix, smoked."/>
    <s v="Natural rind, shaped into wheels, smooth"/>
    <x v="0"/>
    <x v="0"/>
    <x v="1"/>
    <s v="Thermised"/>
    <x v="1"/>
    <s v="Gouda (That Dutchman's Farm)"/>
    <x v="0"/>
    <s v="Nova Scotia"/>
  </r>
  <r>
    <n v="665"/>
    <s v="NS"/>
    <x v="4"/>
    <x v="0"/>
    <n v="42"/>
    <s v="Delicate, a bit spicy."/>
    <s v="Blue cheese dipped in black wax"/>
    <x v="0"/>
    <x v="4"/>
    <x v="1"/>
    <s v="Raw Milk"/>
    <x v="1"/>
    <s v="Dragon's Breath"/>
    <x v="0"/>
    <s v="Nova Scotia"/>
  </r>
  <r>
    <n v="667"/>
    <s v="ON"/>
    <x v="1"/>
    <x v="1"/>
    <n v="55"/>
    <s v="Mild"/>
    <s v=""/>
    <x v="0"/>
    <x v="3"/>
    <x v="1"/>
    <s v="Pasteurized"/>
    <x v="3"/>
    <s v="Feta (Black Diamond)"/>
    <x v="0"/>
    <s v="Ontario"/>
  </r>
  <r>
    <n v="721"/>
    <s v="ON"/>
    <x v="1"/>
    <x v="2"/>
    <n v="60"/>
    <s v="Mild tangy taste"/>
    <s v="Creamy"/>
    <x v="0"/>
    <x v="3"/>
    <x v="0"/>
    <s v="Pasteurized"/>
    <x v="3"/>
    <s v="Brebis frais (Best Baa Dairy)"/>
    <x v="0"/>
    <s v="Ontario"/>
  </r>
  <r>
    <n v="722"/>
    <s v="ON"/>
    <x v="1"/>
    <x v="2"/>
    <n v="42"/>
    <s v="Mild"/>
    <s v="Creamy, covered with a green wax"/>
    <x v="0"/>
    <x v="1"/>
    <x v="0"/>
    <s v="Raw Milk"/>
    <x v="1"/>
    <s v="Eweda cru (Best Baa Dairy)"/>
    <x v="1"/>
    <s v="Ontario"/>
  </r>
  <r>
    <n v="723"/>
    <s v="ON"/>
    <x v="1"/>
    <x v="2"/>
    <n v="55"/>
    <s v=""/>
    <s v="White rind, creamier than camembert"/>
    <x v="0"/>
    <x v="4"/>
    <x v="0"/>
    <s v="Pasteurized"/>
    <x v="2"/>
    <s v="Ramembert (Best Baa Dairy)"/>
    <x v="0"/>
    <s v="Ontario"/>
  </r>
  <r>
    <n v="724"/>
    <s v="ON"/>
    <x v="1"/>
    <x v="2"/>
    <n v="47.06"/>
    <s v="Mild"/>
    <s v="Creamy"/>
    <x v="0"/>
    <x v="3"/>
    <x v="0"/>
    <s v="Pasteurized"/>
    <x v="1"/>
    <s v="Feta (Best Baa Dairy)"/>
    <x v="0"/>
    <s v="Ontario"/>
  </r>
  <r>
    <n v="728"/>
    <s v="ON"/>
    <x v="1"/>
    <x v="1"/>
    <n v="34"/>
    <s v="Mild, medium, extra-old, 4 and 5 year-old"/>
    <s v="White and orange"/>
    <x v="0"/>
    <x v="0"/>
    <x v="1"/>
    <s v="Thermised"/>
    <x v="3"/>
    <s v="Cheddar (Bright Brand)"/>
    <x v="1"/>
    <s v="Ontario"/>
  </r>
  <r>
    <n v="730"/>
    <s v="ON"/>
    <x v="1"/>
    <x v="2"/>
    <n v="47"/>
    <s v=""/>
    <s v=""/>
    <x v="0"/>
    <x v="1"/>
    <x v="0"/>
    <s v="Pasteurized"/>
    <x v="1"/>
    <s v="Eweda (Best Baa Dairy)"/>
    <x v="1"/>
    <s v="Ontario"/>
  </r>
  <r>
    <n v="731"/>
    <s v="ON"/>
    <x v="1"/>
    <x v="2"/>
    <n v="48"/>
    <s v=""/>
    <s v=""/>
    <x v="0"/>
    <x v="1"/>
    <x v="0"/>
    <s v="Raw Milk"/>
    <x v="1"/>
    <s v="Mouton rouge (Best Baa Dairy)"/>
    <x v="1"/>
    <s v="Ontario"/>
  </r>
  <r>
    <n v="732"/>
    <s v="ON"/>
    <x v="1"/>
    <x v="2"/>
    <n v="58"/>
    <s v=""/>
    <s v=""/>
    <x v="0"/>
    <x v="1"/>
    <x v="0"/>
    <s v="Raw Milk"/>
    <x v="1"/>
    <s v="Brigitte (Best Baa Dairy)"/>
    <x v="0"/>
    <s v="Ontario"/>
  </r>
  <r>
    <n v="756"/>
    <s v="NS"/>
    <x v="4"/>
    <x v="1"/>
    <n v="44"/>
    <s v=""/>
    <s v=""/>
    <x v="0"/>
    <x v="1"/>
    <x v="1"/>
    <s v="Pasteurized"/>
    <x v="3"/>
    <s v="Mozzarella (Farmers Cooporative Dairies)"/>
    <x v="0"/>
    <s v="Nova Scotia"/>
  </r>
  <r>
    <n v="777"/>
    <s v="BC"/>
    <x v="2"/>
    <x v="2"/>
    <n v="48"/>
    <s v="White truffles"/>
    <s v="Creamy"/>
    <x v="0"/>
    <x v="4"/>
    <x v="1"/>
    <s v="Pasteurized"/>
    <x v="1"/>
    <s v="Okanagan Double Cream Camembert"/>
    <x v="1"/>
    <s v="British Columbia"/>
  </r>
  <r>
    <n v="778"/>
    <s v="BC"/>
    <x v="2"/>
    <x v="2"/>
    <n v="47"/>
    <s v="Intense Blue Flavour"/>
    <s v=""/>
    <x v="0"/>
    <x v="2"/>
    <x v="1"/>
    <s v="Pasteurized"/>
    <x v="1"/>
    <s v="Tiger Blue"/>
    <x v="0"/>
    <s v="British Columbia"/>
  </r>
  <r>
    <n v="779"/>
    <s v="BC"/>
    <x v="2"/>
    <x v="2"/>
    <n v="54"/>
    <s v="Mild"/>
    <s v="Creamy"/>
    <x v="0"/>
    <x v="2"/>
    <x v="1"/>
    <s v="Pasteurized"/>
    <x v="1"/>
    <s v="Naramata Bench Blue"/>
    <x v="0"/>
    <s v="British Columbia"/>
  </r>
  <r>
    <n v="780"/>
    <s v="BC"/>
    <x v="2"/>
    <x v="2"/>
    <n v="54"/>
    <s v=""/>
    <s v=""/>
    <x v="0"/>
    <x v="4"/>
    <x v="1"/>
    <s v="Pasteurized"/>
    <x v="0"/>
    <s v="Harvest Moon"/>
    <x v="0"/>
    <s v="British Columbia"/>
  </r>
  <r>
    <n v="786"/>
    <s v="BC"/>
    <x v="2"/>
    <x v="2"/>
    <n v="40"/>
    <s v=""/>
    <s v=""/>
    <x v="0"/>
    <x v="0"/>
    <x v="2"/>
    <s v="Thermised"/>
    <x v="3"/>
    <s v="Swiss (Village Cheese)"/>
    <x v="1"/>
    <s v="British Columbia"/>
  </r>
  <r>
    <n v="787"/>
    <s v="BC"/>
    <x v="2"/>
    <x v="2"/>
    <n v="41"/>
    <s v=""/>
    <s v=""/>
    <x v="0"/>
    <x v="1"/>
    <x v="2"/>
    <s v="Thermised"/>
    <x v="1"/>
    <s v="Havarti (Village Cheese)"/>
    <x v="1"/>
    <s v="British Columbia"/>
  </r>
  <r>
    <n v="788"/>
    <s v="BC"/>
    <x v="2"/>
    <x v="2"/>
    <n v="40"/>
    <s v=""/>
    <s v=""/>
    <x v="0"/>
    <x v="0"/>
    <x v="2"/>
    <s v="Thermised"/>
    <x v="1"/>
    <s v="Edam (Village Cheese)"/>
    <x v="1"/>
    <s v="British Columbia"/>
  </r>
  <r>
    <n v="790"/>
    <s v="BC"/>
    <x v="2"/>
    <x v="2"/>
    <n v="32"/>
    <s v=""/>
    <s v=""/>
    <x v="0"/>
    <x v="5"/>
    <x v="1"/>
    <s v="Thermised"/>
    <x v="1"/>
    <s v="Parmesan (Village Cheese)"/>
    <x v="0"/>
    <s v="British Columbia"/>
  </r>
  <r>
    <n v="791"/>
    <s v="BC"/>
    <x v="2"/>
    <x v="2"/>
    <n v="40"/>
    <s v=""/>
    <s v=""/>
    <x v="0"/>
    <x v="0"/>
    <x v="2"/>
    <s v="Thermised"/>
    <x v="1"/>
    <s v="Monterey Jack (Village Cheese)"/>
    <x v="0"/>
    <s v="British Columbia"/>
  </r>
  <r>
    <n v="792"/>
    <s v="BC"/>
    <x v="2"/>
    <x v="2"/>
    <n v="40"/>
    <s v=""/>
    <s v=""/>
    <x v="0"/>
    <x v="0"/>
    <x v="2"/>
    <s v="Thermised"/>
    <x v="3"/>
    <s v="Swiss Alpine Meadow (Village Cheese)"/>
    <x v="1"/>
    <s v="British Columbia"/>
  </r>
  <r>
    <n v="794"/>
    <s v="BC"/>
    <x v="2"/>
    <x v="2"/>
    <n v="38"/>
    <s v=""/>
    <s v=""/>
    <x v="0"/>
    <x v="1"/>
    <x v="2"/>
    <s v="Thermised"/>
    <x v="1"/>
    <s v="Mozzarella (Village Cheese)"/>
    <x v="1"/>
    <s v="British Columbia"/>
  </r>
  <r>
    <n v="795"/>
    <s v="BC"/>
    <x v="2"/>
    <x v="2"/>
    <n v="40"/>
    <s v=""/>
    <s v=""/>
    <x v="0"/>
    <x v="0"/>
    <x v="2"/>
    <s v="Thermised"/>
    <x v="1"/>
    <s v="Gouda (Village Cheese)"/>
    <x v="0"/>
    <s v="British Columbia"/>
  </r>
  <r>
    <n v="796"/>
    <s v="BC"/>
    <x v="2"/>
    <x v="2"/>
    <n v="41"/>
    <s v=""/>
    <s v=""/>
    <x v="0"/>
    <x v="0"/>
    <x v="2"/>
    <s v="Thermised"/>
    <x v="1"/>
    <s v="Brick (Village Cheese)"/>
    <x v="1"/>
    <s v="British Columbia"/>
  </r>
  <r>
    <n v="804"/>
    <s v="ON"/>
    <x v="1"/>
    <x v="1"/>
    <n v="39"/>
    <s v="Delicate, sweet and nutty flavour"/>
    <s v=""/>
    <x v="0"/>
    <x v="0"/>
    <x v="1"/>
    <s v="Pasteurized"/>
    <x v="1"/>
    <s v="Asiago (Tre Stelle)"/>
    <x v="1"/>
    <s v="Ontario"/>
  </r>
  <r>
    <n v="806"/>
    <s v="ON"/>
    <x v="1"/>
    <x v="1"/>
    <n v="50"/>
    <s v="Buttery taste."/>
    <s v=""/>
    <x v="0"/>
    <x v="4"/>
    <x v="1"/>
    <s v="Pasteurized"/>
    <x v="2"/>
    <s v="Château Versailles Brie (Tre Stelle)"/>
    <x v="0"/>
    <s v="Ontario"/>
  </r>
  <r>
    <n v="807"/>
    <s v="MB"/>
    <x v="5"/>
    <x v="0"/>
    <n v="37"/>
    <s v=""/>
    <s v=""/>
    <x v="1"/>
    <x v="0"/>
    <x v="1"/>
    <s v="Pasteurized"/>
    <x v="3"/>
    <s v="Cheddar (Bothwell)"/>
    <x v="1"/>
    <s v="Manitobia"/>
  </r>
  <r>
    <n v="808"/>
    <s v="MB"/>
    <x v="5"/>
    <x v="0"/>
    <n v="40"/>
    <s v="Sweet and slightly nutty taste"/>
    <s v="Buttery texture"/>
    <x v="0"/>
    <x v="0"/>
    <x v="1"/>
    <s v="Pasteurized"/>
    <x v="3"/>
    <s v="Swiss (Bothwell)"/>
    <x v="0"/>
    <s v="Manitobia"/>
  </r>
  <r>
    <n v="809"/>
    <s v="MB"/>
    <x v="5"/>
    <x v="0"/>
    <n v="42"/>
    <s v="Salty and sweet with a mild, nutty taste"/>
    <s v="Also manufactures a Smoked Gouda"/>
    <x v="0"/>
    <x v="0"/>
    <x v="1"/>
    <s v="Pasteurized"/>
    <x v="3"/>
    <s v="Gouda (Bothwell)"/>
    <x v="0"/>
    <s v="Manitobia"/>
  </r>
  <r>
    <n v="810"/>
    <s v="MB"/>
    <x v="5"/>
    <x v="0"/>
    <n v="42"/>
    <s v="Mild, sweet and slightly nutty taste"/>
    <s v="Also available the &quot;Jalapeno Pepper Jack&quot;"/>
    <x v="0"/>
    <x v="1"/>
    <x v="1"/>
    <s v="Pasteurized"/>
    <x v="3"/>
    <s v="Monterey Jack (Bothwell)"/>
    <x v="0"/>
    <s v="Manitobia"/>
  </r>
  <r>
    <n v="812"/>
    <s v="NL"/>
    <x v="6"/>
    <x v="1"/>
    <n v="39"/>
    <s v=""/>
    <s v="Old, Medium, Mild, Marble and Old White Cheddars"/>
    <x v="0"/>
    <x v="0"/>
    <x v="1"/>
    <s v="Pasteurized"/>
    <x v="3"/>
    <s v="Cheddars (Central Dairies)"/>
    <x v="1"/>
    <s v="Newfoundland and Labrador"/>
  </r>
  <r>
    <n v="813"/>
    <s v="BC"/>
    <x v="2"/>
    <x v="2"/>
    <n v="68"/>
    <s v=""/>
    <s v=""/>
    <x v="0"/>
    <x v="4"/>
    <x v="1"/>
    <s v="Pasteurized"/>
    <x v="1"/>
    <s v="San Pareil"/>
    <x v="0"/>
    <s v="British Columbia"/>
  </r>
  <r>
    <n v="814"/>
    <s v="BC"/>
    <x v="2"/>
    <x v="2"/>
    <n v="47.06"/>
    <s v=""/>
    <s v="Welsh-style cheese"/>
    <x v="0"/>
    <x v="5"/>
    <x v="1"/>
    <s v="Raw Milk"/>
    <x v="1"/>
    <s v="Caerphilly"/>
    <x v="1"/>
    <s v="British Columbia"/>
  </r>
  <r>
    <n v="815"/>
    <s v="BC"/>
    <x v="2"/>
    <x v="2"/>
    <n v="40"/>
    <s v="Mild tasting"/>
    <s v="Artisan Cheese"/>
    <x v="0"/>
    <x v="0"/>
    <x v="1"/>
    <s v="Pasteurized"/>
    <x v="3"/>
    <s v="Monterey Jill"/>
    <x v="1"/>
    <s v="British Columbia"/>
  </r>
  <r>
    <n v="816"/>
    <s v="BC"/>
    <x v="2"/>
    <x v="2"/>
    <n v="38"/>
    <s v="Onions, garlic, papika and sweet red pepper flakes."/>
    <s v="Artisinal cheese"/>
    <x v="0"/>
    <x v="5"/>
    <x v="1"/>
    <s v="Raw Milk"/>
    <x v="1"/>
    <s v="Qualicum Spice"/>
    <x v="1"/>
    <s v="British Columbia"/>
  </r>
  <r>
    <n v="817"/>
    <s v="BC"/>
    <x v="2"/>
    <x v="2"/>
    <n v="44"/>
    <s v="Plain or marinated in oil, garlic, sun-dried tomatoes and rosemary"/>
    <s v=""/>
    <x v="0"/>
    <x v="4"/>
    <x v="1"/>
    <s v="Pasteurized"/>
    <x v="3"/>
    <s v="Little Qualicum Feta"/>
    <x v="0"/>
    <s v="British Columbia"/>
  </r>
  <r>
    <n v="818"/>
    <s v="BC"/>
    <x v="2"/>
    <x v="2"/>
    <n v="38"/>
    <s v=""/>
    <s v="Artisanal cheese"/>
    <x v="0"/>
    <x v="5"/>
    <x v="1"/>
    <s v="Raw Milk"/>
    <x v="1"/>
    <s v="Raclette (Little Qualicum)"/>
    <x v="1"/>
    <s v="British Columbia"/>
  </r>
  <r>
    <n v="819"/>
    <s v="BC"/>
    <x v="2"/>
    <x v="2"/>
    <n v="36"/>
    <s v="Hints of roasted nuts"/>
    <s v="Artisan Swiss-style Cheese"/>
    <x v="0"/>
    <x v="0"/>
    <x v="1"/>
    <s v="Raw Milk"/>
    <x v="1"/>
    <s v="Rathtrevor"/>
    <x v="1"/>
    <s v="British Columbia"/>
  </r>
  <r>
    <n v="820"/>
    <s v="BC"/>
    <x v="2"/>
    <x v="2"/>
    <n v="47"/>
    <s v="Gentle flavour with a creamy buttery taste"/>
    <s v=""/>
    <x v="0"/>
    <x v="4"/>
    <x v="1"/>
    <s v="Pasteurized"/>
    <x v="2"/>
    <s v="Comox Brie"/>
    <x v="0"/>
    <s v="British Columbia"/>
  </r>
  <r>
    <n v="821"/>
    <s v="BC"/>
    <x v="2"/>
    <x v="2"/>
    <n v="48"/>
    <s v="Delicate note of mushroom"/>
    <s v=""/>
    <x v="0"/>
    <x v="4"/>
    <x v="1"/>
    <s v="Pasteurized"/>
    <x v="2"/>
    <s v="Triple Cream Camembert"/>
    <x v="1"/>
    <s v="British Columbia"/>
  </r>
  <r>
    <n v="822"/>
    <s v="BC"/>
    <x v="2"/>
    <x v="2"/>
    <n v="41"/>
    <s v="Sweet buttery flavour with a mellow taste of herbs.  Nutty overtones with a tangy finish."/>
    <s v=""/>
    <x v="0"/>
    <x v="0"/>
    <x v="1"/>
    <s v="Pasteurized"/>
    <x v="1"/>
    <s v="Amsterdammer"/>
    <x v="1"/>
    <s v="British Columbia"/>
  </r>
  <r>
    <n v="823"/>
    <s v="BC"/>
    <x v="2"/>
    <x v="2"/>
    <n v="43"/>
    <s v=""/>
    <s v=""/>
    <x v="0"/>
    <x v="0"/>
    <x v="1"/>
    <s v="Pasteurized"/>
    <x v="1"/>
    <s v="Boerenkaas"/>
    <x v="1"/>
    <s v="British Columbia"/>
  </r>
  <r>
    <n v="824"/>
    <s v="BC"/>
    <x v="2"/>
    <x v="2"/>
    <n v="39"/>
    <s v="Bold fruity rich-tasting cheese."/>
    <s v="Blend of Irish Derby and Italian-style Asiago."/>
    <x v="0"/>
    <x v="0"/>
    <x v="1"/>
    <s v="Pasteurized"/>
    <x v="1"/>
    <s v="La Scala"/>
    <x v="1"/>
    <s v="British Columbia"/>
  </r>
  <r>
    <n v="825"/>
    <s v="BC"/>
    <x v="2"/>
    <x v="2"/>
    <n v="41"/>
    <s v="A mix of habanero and black pepper."/>
    <s v=""/>
    <x v="0"/>
    <x v="0"/>
    <x v="1"/>
    <s v="Pasteurized"/>
    <x v="1"/>
    <s v="Pacific Pepper Verderlait"/>
    <x v="1"/>
    <s v="British Columbia"/>
  </r>
  <r>
    <n v="826"/>
    <s v="BC"/>
    <x v="2"/>
    <x v="2"/>
    <n v="41"/>
    <s v="Spicy with cloves and cumin."/>
    <s v="Creamy"/>
    <x v="0"/>
    <x v="0"/>
    <x v="1"/>
    <s v="Pasteurized"/>
    <x v="1"/>
    <s v="Winterlude Spice Verderlait"/>
    <x v="1"/>
    <s v="British Columbia"/>
  </r>
  <r>
    <n v="827"/>
    <s v="BC"/>
    <x v="2"/>
    <x v="2"/>
    <n v="68"/>
    <s v="Mushroom overtones"/>
    <s v="Velvety white rind"/>
    <x v="0"/>
    <x v="4"/>
    <x v="1"/>
    <s v="Pasteurized"/>
    <x v="2"/>
    <s v="Island Bries"/>
    <x v="0"/>
    <s v="British Columbia"/>
  </r>
  <r>
    <n v="828"/>
    <s v="ON"/>
    <x v="1"/>
    <x v="1"/>
    <n v="47.06"/>
    <s v="Soft, delicate and mild buttery flavour."/>
    <s v="Smooth ultra-creamy texture"/>
    <x v="0"/>
    <x v="3"/>
    <x v="1"/>
    <s v="Pasteurized"/>
    <x v="1"/>
    <s v="Mascarpone (Silani)"/>
    <x v="1"/>
    <s v="Ontario"/>
  </r>
  <r>
    <n v="833"/>
    <s v="ON"/>
    <x v="1"/>
    <x v="1"/>
    <n v="55"/>
    <s v=""/>
    <s v="Low in fat"/>
    <x v="0"/>
    <x v="1"/>
    <x v="1"/>
    <s v="Pasteurized"/>
    <x v="1"/>
    <s v="Élan (L') (Fromagerie St-Albert)"/>
    <x v="0"/>
    <s v="Ontario"/>
  </r>
  <r>
    <n v="848"/>
    <s v="ON"/>
    <x v="1"/>
    <x v="1"/>
    <n v="48"/>
    <s v="Refreshing"/>
    <s v="Mild, refreshing, with a smooth  texture."/>
    <x v="0"/>
    <x v="3"/>
    <x v="1"/>
    <s v="Pasteurized"/>
    <x v="3"/>
    <s v="Bocconcini (Tre Stelle)"/>
    <x v="0"/>
    <s v="Ontario"/>
  </r>
  <r>
    <n v="849"/>
    <s v="ON"/>
    <x v="1"/>
    <x v="1"/>
    <n v="40"/>
    <s v="Mild flavor of brie"/>
    <s v="Smooth"/>
    <x v="0"/>
    <x v="1"/>
    <x v="1"/>
    <s v="Pasteurized"/>
    <x v="1"/>
    <s v="Borgonzola (Tre Stelle)"/>
    <x v="1"/>
    <s v="Ontario"/>
  </r>
  <r>
    <n v="850"/>
    <s v="ON"/>
    <x v="1"/>
    <x v="1"/>
    <n v="42"/>
    <s v="Milder, milky and sweet acidulous edge"/>
    <s v=""/>
    <x v="0"/>
    <x v="1"/>
    <x v="1"/>
    <s v="Pasteurized"/>
    <x v="1"/>
    <s v="Brick (Tre Stelle)"/>
    <x v="0"/>
    <s v="Ontario"/>
  </r>
  <r>
    <n v="859"/>
    <s v="ON"/>
    <x v="1"/>
    <x v="1"/>
    <n v="55"/>
    <s v="Salty and tangy"/>
    <s v=""/>
    <x v="0"/>
    <x v="4"/>
    <x v="1"/>
    <s v="Pasteurized"/>
    <x v="1"/>
    <s v="Feta (Tre Stelle)"/>
    <x v="0"/>
    <s v="Ontario"/>
  </r>
  <r>
    <n v="865"/>
    <s v="ON"/>
    <x v="1"/>
    <x v="1"/>
    <n v="46"/>
    <s v="Buttery with a lightly acidulous taste"/>
    <s v="Smooth texture"/>
    <x v="0"/>
    <x v="1"/>
    <x v="1"/>
    <s v="Pasteurized"/>
    <x v="3"/>
    <s v="Havarti (Dofino)"/>
    <x v="1"/>
    <s v="Ontario"/>
  </r>
  <r>
    <n v="867"/>
    <s v="ON"/>
    <x v="1"/>
    <x v="1"/>
    <n v="54"/>
    <s v=""/>
    <s v="Triple cream, rich, smooth texture"/>
    <x v="0"/>
    <x v="4"/>
    <x v="1"/>
    <s v="Pasteurized"/>
    <x v="1"/>
    <s v="Mascarpone (Tre Stelle)"/>
    <x v="1"/>
    <s v="Ontario"/>
  </r>
  <r>
    <n v="869"/>
    <s v="ON"/>
    <x v="1"/>
    <x v="1"/>
    <n v="48"/>
    <s v=""/>
    <s v="Available in Mozzarella - 20% milk fat, 25% milk fat, 16% milk fat, sliced"/>
    <x v="0"/>
    <x v="1"/>
    <x v="1"/>
    <s v="Pasteurized"/>
    <x v="3"/>
    <s v="Mozzarella (Tre Stelle)"/>
    <x v="0"/>
    <s v="Ontario"/>
  </r>
  <r>
    <n v="871"/>
    <s v="ON"/>
    <x v="1"/>
    <x v="1"/>
    <n v="22"/>
    <s v="Rich, fruity and nutty taste."/>
    <s v=""/>
    <x v="0"/>
    <x v="5"/>
    <x v="1"/>
    <s v="Pasteurized"/>
    <x v="3"/>
    <s v="Parmesan (Tre Stelle)"/>
    <x v="1"/>
    <s v="Ontario"/>
  </r>
  <r>
    <n v="875"/>
    <s v="BC"/>
    <x v="2"/>
    <x v="0"/>
    <n v="47.06"/>
    <s v=""/>
    <s v=""/>
    <x v="1"/>
    <x v="0"/>
    <x v="0"/>
    <s v="Pasteurized"/>
    <x v="1"/>
    <s v="Aged Sheep Milk Cheese"/>
    <x v="0"/>
    <s v="British Columbia"/>
  </r>
  <r>
    <n v="879"/>
    <s v="BC"/>
    <x v="2"/>
    <x v="0"/>
    <n v="38"/>
    <s v="Rich with a sweet caramel finish"/>
    <s v="Also available: mild, medium, light and in many flavours."/>
    <x v="1"/>
    <x v="0"/>
    <x v="1"/>
    <s v="Thermised"/>
    <x v="3"/>
    <s v="Extra Aged Gouda (Gort's Gouda)"/>
    <x v="1"/>
    <s v="British Columbia"/>
  </r>
  <r>
    <n v="885"/>
    <s v="BC"/>
    <x v="2"/>
    <x v="0"/>
    <n v="38"/>
    <s v="Nutty flavour"/>
    <s v=""/>
    <x v="1"/>
    <x v="0"/>
    <x v="1"/>
    <s v="Raw Milk"/>
    <x v="1"/>
    <s v="Maasdammer"/>
    <x v="1"/>
    <s v="British Columbia"/>
  </r>
  <r>
    <n v="888"/>
    <s v="ON"/>
    <x v="1"/>
    <x v="1"/>
    <n v="47.06"/>
    <s v="medium and marble"/>
    <s v="Contains probiotics"/>
    <x v="0"/>
    <x v="0"/>
    <x v="1"/>
    <s v="Pasteurized"/>
    <x v="1"/>
    <s v="Kraft LiveActive"/>
    <x v="0"/>
    <s v="Ontario"/>
  </r>
  <r>
    <n v="889"/>
    <s v="ON"/>
    <x v="1"/>
    <x v="2"/>
    <n v="56"/>
    <s v="Balkan, middle eastern flavoured cheese"/>
    <s v="Rich Flavour, similar to &quot;kaymak&quot; or &quot;Lebene&quot;, Balkan, middle eastern flavoured cheese"/>
    <x v="0"/>
    <x v="3"/>
    <x v="1"/>
    <s v="Pasteurized"/>
    <x v="1"/>
    <s v="Creamy Feta (Triple A Cheese)"/>
    <x v="0"/>
    <s v="Ontario"/>
  </r>
  <r>
    <n v="890"/>
    <s v="AB"/>
    <x v="3"/>
    <x v="1"/>
    <n v="55"/>
    <s v="Slightly salty"/>
    <s v="Cured in brine"/>
    <x v="0"/>
    <x v="1"/>
    <x v="3"/>
    <s v="Pasteurized"/>
    <x v="1"/>
    <s v="Vlahos Feta"/>
    <x v="0"/>
    <s v="Alberta"/>
  </r>
  <r>
    <n v="891"/>
    <s v="AB"/>
    <x v="3"/>
    <x v="1"/>
    <n v="26"/>
    <s v=""/>
    <s v=""/>
    <x v="0"/>
    <x v="0"/>
    <x v="4"/>
    <s v="Pasteurized"/>
    <x v="1"/>
    <s v="Kefalotri / Saganaki"/>
    <x v="1"/>
    <s v="Alberta"/>
  </r>
  <r>
    <n v="893"/>
    <s v="ON"/>
    <x v="1"/>
    <x v="1"/>
    <n v="20"/>
    <s v="Mild to strong nutty and salty flavour"/>
    <s v="50-50 Blend of shredded parmesan and romano cheeses"/>
    <x v="0"/>
    <x v="5"/>
    <x v="1"/>
    <s v="Pasteurized"/>
    <x v="3"/>
    <s v="Shredded Parmesan with Romano Cheese"/>
    <x v="0"/>
    <s v="Ontario"/>
  </r>
  <r>
    <n v="902"/>
    <s v="ON"/>
    <x v="1"/>
    <x v="1"/>
    <n v="92"/>
    <s v=""/>
    <s v=""/>
    <x v="0"/>
    <x v="3"/>
    <x v="1"/>
    <s v="Pasteurized"/>
    <x v="1"/>
    <s v="Burrino (Salerno)"/>
    <x v="0"/>
    <s v="Ontario"/>
  </r>
  <r>
    <n v="906"/>
    <s v="ON"/>
    <x v="1"/>
    <x v="1"/>
    <n v="52"/>
    <s v="Similiar to Provolone"/>
    <s v="Gourd-shaped similar to Caciocavallo"/>
    <x v="0"/>
    <x v="1"/>
    <x v="1"/>
    <s v="Pasteurized"/>
    <x v="1"/>
    <s v="Scamorza (Salerno)"/>
    <x v="0"/>
    <s v="Ontario"/>
  </r>
  <r>
    <n v="915"/>
    <s v="ON"/>
    <x v="1"/>
    <x v="1"/>
    <n v="45"/>
    <s v="mildly tangy and fruity"/>
    <s v=""/>
    <x v="0"/>
    <x v="0"/>
    <x v="1"/>
    <s v="Pasteurized"/>
    <x v="1"/>
    <s v="Provolone (Tre Stelle)"/>
    <x v="0"/>
    <s v="Ontario"/>
  </r>
  <r>
    <n v="916"/>
    <s v="ON"/>
    <x v="1"/>
    <x v="1"/>
    <n v="74"/>
    <s v="Milky, smooth and creamy"/>
    <s v=""/>
    <x v="0"/>
    <x v="3"/>
    <x v="1"/>
    <s v="Pasteurized"/>
    <x v="3"/>
    <s v="Ricotta (Tre Stelle)"/>
    <x v="0"/>
    <s v="Ontario"/>
  </r>
  <r>
    <n v="922"/>
    <s v="BC"/>
    <x v="2"/>
    <x v="0"/>
    <n v="60"/>
    <s v="Plain, with garlic/parsley, lemon/pepper or with chanterelle or porcini. Very mild taste."/>
    <s v="Very creamy texture"/>
    <x v="0"/>
    <x v="4"/>
    <x v="2"/>
    <s v="Pasteurized"/>
    <x v="1"/>
    <s v="Okanagan Goat Cheese"/>
    <x v="0"/>
    <s v="British Columbia"/>
  </r>
  <r>
    <n v="923"/>
    <s v="BC"/>
    <x v="2"/>
    <x v="0"/>
    <n v="55"/>
    <s v="Available with basil and tomato, garlic and oregano"/>
    <s v=""/>
    <x v="1"/>
    <x v="3"/>
    <x v="1"/>
    <s v="Thermised"/>
    <x v="1"/>
    <s v="Feta (Gort's Gouda)"/>
    <x v="0"/>
    <s v="British Columbia"/>
  </r>
  <r>
    <n v="928"/>
    <s v="ON"/>
    <x v="1"/>
    <x v="1"/>
    <n v="31"/>
    <s v="Very sharp"/>
    <s v="Extra firm, white cheese"/>
    <x v="0"/>
    <x v="5"/>
    <x v="1"/>
    <s v="Pasteurized"/>
    <x v="3"/>
    <s v="Cheddar (Thornloe)"/>
    <x v="1"/>
    <s v="Ontario"/>
  </r>
  <r>
    <n v="929"/>
    <s v="ON"/>
    <x v="1"/>
    <x v="1"/>
    <n v="52"/>
    <s v=""/>
    <s v="Also available: &quot;Fior de Latte&quot;, &quot;Fior de Latte Treccia&quot;, in block or ball shape."/>
    <x v="0"/>
    <x v="1"/>
    <x v="1"/>
    <s v="Pasteurized"/>
    <x v="1"/>
    <s v="Mozzarella (International Cheese)"/>
    <x v="0"/>
    <s v="Ontario"/>
  </r>
  <r>
    <n v="930"/>
    <s v="ON"/>
    <x v="1"/>
    <x v="1"/>
    <n v="45"/>
    <s v="Also available: Pignata"/>
    <s v=""/>
    <x v="0"/>
    <x v="0"/>
    <x v="1"/>
    <s v="Pasteurized"/>
    <x v="1"/>
    <s v="Santa Lucia Provolone (International Cheese)"/>
    <x v="0"/>
    <s v="Ontario"/>
  </r>
  <r>
    <n v="931"/>
    <s v="ON"/>
    <x v="1"/>
    <x v="1"/>
    <n v="62"/>
    <s v=""/>
    <s v=""/>
    <x v="0"/>
    <x v="3"/>
    <x v="1"/>
    <s v="Pasteurized"/>
    <x v="3"/>
    <s v="Ricotta (International Cheese)"/>
    <x v="0"/>
    <s v="Ontario"/>
  </r>
  <r>
    <n v="932"/>
    <s v="ON"/>
    <x v="1"/>
    <x v="1"/>
    <n v="45"/>
    <s v=""/>
    <s v=""/>
    <x v="0"/>
    <x v="1"/>
    <x v="1"/>
    <s v="Pasteurized"/>
    <x v="1"/>
    <s v="Scamorza (International Cheese)"/>
    <x v="0"/>
    <s v="Ontario"/>
  </r>
  <r>
    <n v="933"/>
    <s v="ON"/>
    <x v="1"/>
    <x v="1"/>
    <n v="52"/>
    <s v=""/>
    <s v="A smooth, luxurious texture reminiscent of baked custard, rennet free"/>
    <x v="0"/>
    <x v="3"/>
    <x v="1"/>
    <s v="Pasteurized"/>
    <x v="1"/>
    <s v="St.John's Cow (Portuguese)"/>
    <x v="0"/>
    <s v="Ontario"/>
  </r>
  <r>
    <n v="934"/>
    <s v="ON"/>
    <x v="1"/>
    <x v="1"/>
    <n v="70"/>
    <s v=""/>
    <s v="A soft, yogurt-like texture, delicate curd and sweet milk flavour"/>
    <x v="0"/>
    <x v="3"/>
    <x v="2"/>
    <s v="Pasteurized"/>
    <x v="1"/>
    <s v="St. John's Goat (Portuguese)"/>
    <x v="0"/>
    <s v="Ontario"/>
  </r>
  <r>
    <n v="936"/>
    <s v="ON"/>
    <x v="1"/>
    <x v="1"/>
    <n v="40"/>
    <s v="Sharp flavour"/>
    <s v="Dry and smooth texture."/>
    <x v="0"/>
    <x v="1"/>
    <x v="1"/>
    <s v="Pasteurized"/>
    <x v="1"/>
    <s v="Corvo Semi-Soft Cheese (Portuguese)"/>
    <x v="1"/>
    <s v="Ontario"/>
  </r>
  <r>
    <n v="937"/>
    <s v="ON"/>
    <x v="1"/>
    <x v="1"/>
    <n v="40"/>
    <s v="hint of sourness"/>
    <s v="Creamy texture"/>
    <x v="0"/>
    <x v="1"/>
    <x v="1"/>
    <s v="Pasteurized"/>
    <x v="1"/>
    <s v="Sao Miguel"/>
    <x v="0"/>
    <s v="Ontario"/>
  </r>
  <r>
    <n v="938"/>
    <s v="ON"/>
    <x v="1"/>
    <x v="1"/>
    <n v="40"/>
    <s v="almost sweet"/>
    <s v=""/>
    <x v="0"/>
    <x v="1"/>
    <x v="2"/>
    <s v="Pasteurized"/>
    <x v="0"/>
    <s v="Graciosa Semi-Soft Goat Cheese (Portuguese)"/>
    <x v="1"/>
    <s v="Ontario"/>
  </r>
  <r>
    <n v="939"/>
    <s v="ON"/>
    <x v="1"/>
    <x v="1"/>
    <n v="50"/>
    <s v="Mild with slightly salty taste"/>
    <s v=""/>
    <x v="0"/>
    <x v="1"/>
    <x v="1"/>
    <s v="Pasteurized"/>
    <x v="1"/>
    <s v="Serra  (Portuguese Cheese Company)"/>
    <x v="0"/>
    <s v="Ontario"/>
  </r>
  <r>
    <n v="940"/>
    <s v="ON"/>
    <x v="1"/>
    <x v="1"/>
    <n v="52"/>
    <s v="Tangy"/>
    <s v="Golden yellow"/>
    <x v="0"/>
    <x v="1"/>
    <x v="1"/>
    <s v="Pasteurized"/>
    <x v="1"/>
    <s v="Vaquinha  (Portuguese)"/>
    <x v="0"/>
    <s v="Ontario"/>
  </r>
  <r>
    <n v="946"/>
    <s v="ON"/>
    <x v="1"/>
    <x v="1"/>
    <n v="27"/>
    <s v="Mild, bittersweet taste"/>
    <s v="Soft, white cheese"/>
    <x v="0"/>
    <x v="4"/>
    <x v="1"/>
    <s v="Pasteurized"/>
    <x v="3"/>
    <s v="Swiss (Thornloe)"/>
    <x v="1"/>
    <s v="Ontario"/>
  </r>
  <r>
    <n v="947"/>
    <s v="ON"/>
    <x v="1"/>
    <x v="1"/>
    <n v="41"/>
    <s v="Light and milk with a fresh butter taste"/>
    <s v="Rindless, smooth and gleaming surface yellow in color"/>
    <x v="0"/>
    <x v="0"/>
    <x v="1"/>
    <s v="Pasteurized"/>
    <x v="3"/>
    <s v="Colby (Thornloe)"/>
    <x v="1"/>
    <s v="Ontario"/>
  </r>
  <r>
    <n v="951"/>
    <s v="ON"/>
    <x v="1"/>
    <x v="1"/>
    <n v="52"/>
    <s v=""/>
    <s v="Also available:  Bocconcini Pearl et regular Bocconcini"/>
    <x v="0"/>
    <x v="4"/>
    <x v="1"/>
    <s v="Pasteurized"/>
    <x v="1"/>
    <s v="Mini Bocconcini (International Cheese)"/>
    <x v="0"/>
    <s v="Ontario"/>
  </r>
  <r>
    <n v="953"/>
    <s v="ON"/>
    <x v="1"/>
    <x v="1"/>
    <n v="45"/>
    <s v=""/>
    <s v=""/>
    <x v="1"/>
    <x v="0"/>
    <x v="1"/>
    <s v="Pasteurized"/>
    <x v="1"/>
    <s v="Cacciocavallo (International Cheese)"/>
    <x v="0"/>
    <s v="Ontario"/>
  </r>
  <r>
    <n v="954"/>
    <s v="ON"/>
    <x v="1"/>
    <x v="1"/>
    <n v="39"/>
    <s v=""/>
    <s v=""/>
    <x v="0"/>
    <x v="0"/>
    <x v="1"/>
    <s v="Pasteurized"/>
    <x v="1"/>
    <s v="Friulano (International Cheese)"/>
    <x v="0"/>
    <s v="Ontario"/>
  </r>
  <r>
    <n v="962"/>
    <s v="ON"/>
    <x v="1"/>
    <x v="1"/>
    <n v="57"/>
    <s v=""/>
    <s v=""/>
    <x v="0"/>
    <x v="1"/>
    <x v="1"/>
    <s v="Pasteurized"/>
    <x v="1"/>
    <s v="Bocconcini (Salerno)"/>
    <x v="0"/>
    <s v="Ontario"/>
  </r>
  <r>
    <n v="966"/>
    <s v="ON"/>
    <x v="1"/>
    <x v="1"/>
    <n v="62"/>
    <s v=""/>
    <s v=""/>
    <x v="0"/>
    <x v="4"/>
    <x v="1"/>
    <s v="Pasteurized"/>
    <x v="1"/>
    <s v="Tuma Cheese (Fresh Cheese)(Salerno)"/>
    <x v="0"/>
    <s v="Ontario"/>
  </r>
  <r>
    <n v="967"/>
    <s v="ON"/>
    <x v="1"/>
    <x v="1"/>
    <n v="47.06"/>
    <s v=""/>
    <s v=""/>
    <x v="0"/>
    <x v="1"/>
    <x v="1"/>
    <s v="Pasteurized"/>
    <x v="1"/>
    <s v="Mozzarella (Salerno)"/>
    <x v="0"/>
    <s v="Ontario"/>
  </r>
  <r>
    <n v="968"/>
    <s v="ON"/>
    <x v="1"/>
    <x v="1"/>
    <n v="42"/>
    <s v="Mild cheese, becomes stronger with age"/>
    <s v="Brick is a white to ivory rindless firm cheese with a springy texture."/>
    <x v="0"/>
    <x v="0"/>
    <x v="1"/>
    <s v="Pasteurized"/>
    <x v="3"/>
    <s v="Brick (Salerno)"/>
    <x v="0"/>
    <s v="Ontario"/>
  </r>
  <r>
    <n v="971"/>
    <s v="ON"/>
    <x v="1"/>
    <x v="1"/>
    <n v="52"/>
    <s v=""/>
    <s v=""/>
    <x v="0"/>
    <x v="1"/>
    <x v="1"/>
    <s v="Pasteurized"/>
    <x v="3"/>
    <s v="Caciotta (Salerno)"/>
    <x v="0"/>
    <s v="Ontario"/>
  </r>
  <r>
    <n v="975"/>
    <s v="ON"/>
    <x v="1"/>
    <x v="1"/>
    <n v="34"/>
    <s v="Taste is mild and tangy that intensifies with age"/>
    <s v="Wheel-shaped with small ridges, yellow rind with an ivory interior"/>
    <x v="0"/>
    <x v="5"/>
    <x v="1"/>
    <s v="Pasteurized"/>
    <x v="1"/>
    <s v="Romanello (Salerno)"/>
    <x v="0"/>
    <s v="Ontario"/>
  </r>
  <r>
    <n v="988"/>
    <s v="ON"/>
    <x v="1"/>
    <x v="1"/>
    <n v="38"/>
    <s v=""/>
    <s v=""/>
    <x v="0"/>
    <x v="3"/>
    <x v="3"/>
    <s v="Pasteurized"/>
    <x v="3"/>
    <s v="Ricotta (Skotidakis)"/>
    <x v="0"/>
    <s v="Ontario"/>
  </r>
  <r>
    <n v="990"/>
    <s v="ON"/>
    <x v="1"/>
    <x v="2"/>
    <n v="80"/>
    <s v=""/>
    <s v="Ricotta is made from sweet whey"/>
    <x v="0"/>
    <x v="3"/>
    <x v="0"/>
    <s v="Pasteurized"/>
    <x v="3"/>
    <s v="Ricotta (Shepherd Gourmet)"/>
    <x v="0"/>
    <s v="Ontario"/>
  </r>
  <r>
    <n v="993"/>
    <s v="ON"/>
    <x v="1"/>
    <x v="2"/>
    <n v="55"/>
    <s v=""/>
    <s v=""/>
    <x v="0"/>
    <x v="1"/>
    <x v="0"/>
    <s v="Pasteurized"/>
    <x v="3"/>
    <s v="Krinos Sheep Feta (Shepherd Gourmet)"/>
    <x v="0"/>
    <s v="Ontario"/>
  </r>
  <r>
    <n v="995"/>
    <s v="ON"/>
    <x v="1"/>
    <x v="2"/>
    <n v="68"/>
    <s v=""/>
    <s v=""/>
    <x v="0"/>
    <x v="3"/>
    <x v="2"/>
    <s v="Pasteurized"/>
    <x v="1"/>
    <s v="Fresh Chèvre"/>
    <x v="0"/>
    <s v="Ontario"/>
  </r>
  <r>
    <n v="1001"/>
    <s v="ON"/>
    <x v="1"/>
    <x v="1"/>
    <n v="57"/>
    <s v="Mild and tangy (plain, fines herbs, peppercorn, roasted garlic)"/>
    <s v="Smooth, creamy texture."/>
    <x v="0"/>
    <x v="3"/>
    <x v="2"/>
    <s v="Pasteurized"/>
    <x v="1"/>
    <s v="Chevrai (Woolwich)"/>
    <x v="0"/>
    <s v="Ontario"/>
  </r>
  <r>
    <n v="1019"/>
    <s v="NS"/>
    <x v="4"/>
    <x v="1"/>
    <n v="55"/>
    <s v=""/>
    <s v=""/>
    <x v="0"/>
    <x v="1"/>
    <x v="1"/>
    <s v="Pasteurized"/>
    <x v="1"/>
    <s v="Holmestead Feta"/>
    <x v="0"/>
    <s v="Nova Scotia"/>
  </r>
  <r>
    <n v="1022"/>
    <s v="ON"/>
    <x v="1"/>
    <x v="1"/>
    <n v="40"/>
    <s v=""/>
    <s v=""/>
    <x v="0"/>
    <x v="0"/>
    <x v="1"/>
    <s v="Pasteurized"/>
    <x v="1"/>
    <s v="Asiago (Ivanhoe Cheese)"/>
    <x v="1"/>
    <s v="Ontario"/>
  </r>
  <r>
    <n v="1025"/>
    <s v="ON"/>
    <x v="1"/>
    <x v="1"/>
    <n v="32"/>
    <s v=""/>
    <s v=""/>
    <x v="0"/>
    <x v="0"/>
    <x v="1"/>
    <s v="Pasteurized"/>
    <x v="1"/>
    <s v="Parmesan (Ivanhoe)"/>
    <x v="0"/>
    <s v="Ontario"/>
  </r>
  <r>
    <n v="1026"/>
    <s v="ON"/>
    <x v="1"/>
    <x v="1"/>
    <n v="34"/>
    <s v=""/>
    <s v=""/>
    <x v="0"/>
    <x v="0"/>
    <x v="1"/>
    <s v="Pasteurized"/>
    <x v="1"/>
    <s v="Romano (Ivanhoe)"/>
    <x v="0"/>
    <s v="Ontario"/>
  </r>
  <r>
    <n v="1027"/>
    <s v="ON"/>
    <x v="1"/>
    <x v="1"/>
    <n v="43"/>
    <s v="Plain or Smoked"/>
    <s v=""/>
    <x v="0"/>
    <x v="0"/>
    <x v="1"/>
    <s v="Pasteurized"/>
    <x v="1"/>
    <s v="Gouda (Ivanhoe)"/>
    <x v="0"/>
    <s v="Ontario"/>
  </r>
  <r>
    <n v="1028"/>
    <s v="ON"/>
    <x v="1"/>
    <x v="1"/>
    <n v="55"/>
    <s v=""/>
    <s v=""/>
    <x v="0"/>
    <x v="4"/>
    <x v="1"/>
    <s v="Pasteurized"/>
    <x v="1"/>
    <s v="Feta (Ivanhoe)"/>
    <x v="0"/>
    <s v="Ontario"/>
  </r>
  <r>
    <n v="1042"/>
    <s v="PE"/>
    <x v="7"/>
    <x v="0"/>
    <n v="43"/>
    <s v="mild, medium old, cumin, fenugreek, 4-pepper, garlic, herb and garlic, onion &amp; red pepper, pepper &amp; mustard, peppercorn, red chili pepper."/>
    <s v=""/>
    <x v="0"/>
    <x v="0"/>
    <x v="1"/>
    <s v="Pasteurized"/>
    <x v="1"/>
    <s v="Gouda (Cheeselady's)"/>
    <x v="0"/>
    <s v="Prince Edward Island"/>
  </r>
  <r>
    <n v="1057"/>
    <s v="ON"/>
    <x v="1"/>
    <x v="1"/>
    <n v="39"/>
    <s v="Mild, medium, old, extra-old, supreme ( 3 yr. Old), 4 year-old"/>
    <s v=""/>
    <x v="0"/>
    <x v="0"/>
    <x v="1"/>
    <s v="Pasteurized"/>
    <x v="3"/>
    <s v="Cheddar (Empire Cheese)"/>
    <x v="1"/>
    <s v="Ontario"/>
  </r>
  <r>
    <n v="1058"/>
    <s v="ON"/>
    <x v="1"/>
    <x v="0"/>
    <n v="37"/>
    <s v="Goaty flavour"/>
    <s v="White body"/>
    <x v="0"/>
    <x v="5"/>
    <x v="2"/>
    <s v="Pasteurized"/>
    <x v="1"/>
    <s v="Cheddar (Celebrity International)"/>
    <x v="1"/>
    <s v="Ontario"/>
  </r>
  <r>
    <n v="1059"/>
    <s v="ON"/>
    <x v="1"/>
    <x v="0"/>
    <n v="37"/>
    <s v="Sweet notes"/>
    <s v="Creamy smooth"/>
    <x v="0"/>
    <x v="6"/>
    <x v="2"/>
    <s v="Pasteurized"/>
    <x v="1"/>
    <s v="Goat Lindsay Bandaged Cheddar (Celebrity International)"/>
    <x v="1"/>
    <s v="Ontario"/>
  </r>
  <r>
    <n v="1060"/>
    <s v="ON"/>
    <x v="1"/>
    <x v="1"/>
    <n v="37"/>
    <s v="Herbs and Garlic"/>
    <s v="Marble"/>
    <x v="0"/>
    <x v="0"/>
    <x v="2"/>
    <s v="Pasteurized"/>
    <x v="3"/>
    <s v="Cheddar (Mornington Dairy)"/>
    <x v="1"/>
    <s v="Ontario"/>
  </r>
  <r>
    <n v="1067"/>
    <s v="ON"/>
    <x v="1"/>
    <x v="2"/>
    <n v="34"/>
    <s v="Flavour ranges from horseradish to citrus"/>
    <s v="Hay colored, natural rind cheese"/>
    <x v="0"/>
    <x v="1"/>
    <x v="0"/>
    <s v="Raw Milk"/>
    <x v="1"/>
    <s v="Tomme de Gaston"/>
    <x v="1"/>
    <s v="Ontario"/>
  </r>
  <r>
    <n v="1086"/>
    <s v="ON"/>
    <x v="1"/>
    <x v="1"/>
    <n v="37"/>
    <s v=""/>
    <s v=""/>
    <x v="0"/>
    <x v="0"/>
    <x v="1"/>
    <s v="Pasteurized"/>
    <x v="3"/>
    <s v="Cheddars (Black Diamond)"/>
    <x v="1"/>
    <s v="Ontario"/>
  </r>
  <r>
    <n v="1087"/>
    <s v="ON"/>
    <x v="1"/>
    <x v="1"/>
    <n v="44"/>
    <s v="Mild, slightly acidulous"/>
    <s v="Interior-ripened, rindless, pale in colour"/>
    <x v="0"/>
    <x v="1"/>
    <x v="1"/>
    <s v="Pasteurized"/>
    <x v="3"/>
    <s v="Monterey Jack (Black Diamond)"/>
    <x v="0"/>
    <s v="Ontario"/>
  </r>
  <r>
    <n v="1098"/>
    <s v="BC"/>
    <x v="2"/>
    <x v="1"/>
    <n v="47.06"/>
    <s v=""/>
    <s v=""/>
    <x v="0"/>
    <x v="4"/>
    <x v="1"/>
    <s v="Pasteurized"/>
    <x v="1"/>
    <s v="Bocconcini (Scardillo)"/>
    <x v="0"/>
    <s v="British Columbia"/>
  </r>
  <r>
    <n v="1103"/>
    <s v="BC"/>
    <x v="2"/>
    <x v="1"/>
    <n v="47.06"/>
    <s v=""/>
    <s v=""/>
    <x v="0"/>
    <x v="0"/>
    <x v="1"/>
    <s v="Pasteurized"/>
    <x v="1"/>
    <s v="Edam (Scardillo)"/>
    <x v="0"/>
    <s v="British Columbia"/>
  </r>
  <r>
    <n v="1110"/>
    <s v="BC"/>
    <x v="2"/>
    <x v="0"/>
    <n v="27"/>
    <s v=""/>
    <s v="Stilton-style blue cheese"/>
    <x v="1"/>
    <x v="2"/>
    <x v="1"/>
    <s v="Raw Milk"/>
    <x v="1"/>
    <s v="Blossom's Blue"/>
    <x v="1"/>
    <s v="British Columbia"/>
  </r>
  <r>
    <n v="1111"/>
    <s v="BC"/>
    <x v="2"/>
    <x v="0"/>
    <n v="40"/>
    <s v="Pepper flavour"/>
    <s v=""/>
    <x v="1"/>
    <x v="4"/>
    <x v="1"/>
    <s v="Pasteurized"/>
    <x v="2"/>
    <s v="Savoury Moon"/>
    <x v="0"/>
    <s v="British Columbia"/>
  </r>
  <r>
    <n v="1112"/>
    <s v="BC"/>
    <x v="2"/>
    <x v="0"/>
    <n v="35"/>
    <s v="Strong"/>
    <s v="Also made with raw milk."/>
    <x v="1"/>
    <x v="2"/>
    <x v="1"/>
    <s v="Pasteurized"/>
    <x v="1"/>
    <s v="Beddis Blue"/>
    <x v="1"/>
    <s v="British Columbia"/>
  </r>
  <r>
    <n v="1113"/>
    <s v="BC"/>
    <x v="2"/>
    <x v="0"/>
    <n v="40.299999999999997"/>
    <s v=""/>
    <s v="milder than a camembert, stronger than a brie"/>
    <x v="1"/>
    <x v="4"/>
    <x v="1"/>
    <s v="Pasteurized"/>
    <x v="2"/>
    <s v="White Moon"/>
    <x v="0"/>
    <s v="British Columbia"/>
  </r>
  <r>
    <n v="1114"/>
    <s v="BC"/>
    <x v="2"/>
    <x v="0"/>
    <n v="27"/>
    <s v="Will sweeten on the palate"/>
    <s v=""/>
    <x v="1"/>
    <x v="5"/>
    <x v="1"/>
    <s v="Raw Milk"/>
    <x v="1"/>
    <s v="White Grace"/>
    <x v="1"/>
    <s v="British Columbia"/>
  </r>
  <r>
    <n v="1115"/>
    <s v="BC"/>
    <x v="2"/>
    <x v="0"/>
    <n v="40.299999999999997"/>
    <s v="Sweet buttery blue"/>
    <s v="Fresh blue cheese"/>
    <x v="1"/>
    <x v="2"/>
    <x v="1"/>
    <s v="Pasteurized"/>
    <x v="1"/>
    <s v="Baby Blue"/>
    <x v="0"/>
    <s v="British Columbia"/>
  </r>
  <r>
    <n v="1116"/>
    <s v="BC"/>
    <x v="2"/>
    <x v="0"/>
    <n v="40.299999999999997"/>
    <s v=""/>
    <s v=""/>
    <x v="1"/>
    <x v="4"/>
    <x v="1"/>
    <s v="Pasteurized"/>
    <x v="2"/>
    <s v="Ash-Ripened Camembert"/>
    <x v="0"/>
    <s v="British Columbia"/>
  </r>
  <r>
    <n v="1122"/>
    <s v="BC"/>
    <x v="2"/>
    <x v="0"/>
    <n v="30"/>
    <s v="Buttery, nutty flavour"/>
    <s v=""/>
    <x v="0"/>
    <x v="5"/>
    <x v="1"/>
    <s v="Raw Milk"/>
    <x v="1"/>
    <s v="Tomme d'Or (Moonstruck Organic)"/>
    <x v="0"/>
    <s v="British Columbia"/>
  </r>
  <r>
    <n v="1128"/>
    <s v="MB"/>
    <x v="5"/>
    <x v="0"/>
    <n v="42"/>
    <s v=""/>
    <s v=""/>
    <x v="0"/>
    <x v="1"/>
    <x v="1"/>
    <s v="Pasteurized"/>
    <x v="3"/>
    <s v="Farmers (Bothwell)"/>
    <x v="0"/>
    <s v="Manitobia"/>
  </r>
  <r>
    <n v="1129"/>
    <s v="QC"/>
    <x v="8"/>
    <x v="0"/>
    <n v="43"/>
    <s v=""/>
    <s v=""/>
    <x v="0"/>
    <x v="1"/>
    <x v="0"/>
    <s v="Raw Milk"/>
    <x v="0"/>
    <s v="Tomme du Kamouraska (La)"/>
    <x v="1"/>
    <s v="Qubec"/>
  </r>
  <r>
    <n v="1130"/>
    <s v="QC"/>
    <x v="8"/>
    <x v="0"/>
    <n v="45"/>
    <s v="Mild and lactic flavor with a touch of hazelnut."/>
    <s v="Smooth, firm, shiny and creamy texture. Cream-colored."/>
    <x v="0"/>
    <x v="0"/>
    <x v="1"/>
    <s v="Pasteurized"/>
    <x v="1"/>
    <s v="Albani (L')"/>
    <x v="1"/>
    <s v="Qubec"/>
  </r>
  <r>
    <n v="1131"/>
    <s v="QC"/>
    <x v="8"/>
    <x v="0"/>
    <n v="45"/>
    <s v="Lactic and fruity"/>
    <s v="Orange-colored washed rind sprinkled with white mold. Pressed and uncooked yellowy-creamy colored cheese. Smooth and supple texture. Shows small holes."/>
    <x v="0"/>
    <x v="1"/>
    <x v="1"/>
    <s v="Pasteurized"/>
    <x v="0"/>
    <s v="Chant du Coq (Le)"/>
    <x v="0"/>
    <s v="Qubec"/>
  </r>
  <r>
    <n v="1132"/>
    <s v="QC"/>
    <x v="8"/>
    <x v="0"/>
    <n v="52"/>
    <s v="Flavors of cream, mushrooms and nuts"/>
    <s v="Creamy to ivory-colored. Smooth and runny texture."/>
    <x v="0"/>
    <x v="4"/>
    <x v="1"/>
    <s v="Pasteurized"/>
    <x v="2"/>
    <s v="François Paradis (Le)"/>
    <x v="1"/>
    <s v="Qubec"/>
  </r>
  <r>
    <n v="1133"/>
    <s v="QC"/>
    <x v="8"/>
    <x v="0"/>
    <n v="52"/>
    <s v="Cream, mushroom and almond aroma"/>
    <s v="White and velvety rind. White to creamy-colored interior. Smooth and runny texture."/>
    <x v="0"/>
    <x v="4"/>
    <x v="1"/>
    <s v="Pasteurized"/>
    <x v="2"/>
    <s v="Maria Chapdelaine (Le)"/>
    <x v="1"/>
    <s v="Qubec"/>
  </r>
  <r>
    <n v="1134"/>
    <s v="QC"/>
    <x v="8"/>
    <x v="0"/>
    <n v="45"/>
    <s v="Mild and lactic. Avalaible seasoned with garlic flower, dried tomatoes and basil, italian and provençal herbs"/>
    <s v="Creamy colored cheddar with a firm, smooth and shiny texture"/>
    <x v="0"/>
    <x v="0"/>
    <x v="1"/>
    <s v="Pasteurized"/>
    <x v="3"/>
    <s v="Normandises (Les)"/>
    <x v="1"/>
    <s v="Qubec"/>
  </r>
  <r>
    <n v="1136"/>
    <s v="QC"/>
    <x v="8"/>
    <x v="0"/>
    <n v="52"/>
    <s v=""/>
    <s v=""/>
    <x v="0"/>
    <x v="4"/>
    <x v="1"/>
    <s v="Pasteurized"/>
    <x v="0"/>
    <s v="Péribonka (Le)"/>
    <x v="1"/>
    <s v="Qubec"/>
  </r>
  <r>
    <n v="1137"/>
    <s v="QC"/>
    <x v="8"/>
    <x v="2"/>
    <n v="50"/>
    <s v="Hazelnut flavor"/>
    <s v="Creamy texture, orange rind"/>
    <x v="0"/>
    <x v="4"/>
    <x v="1"/>
    <s v="Pasteurized"/>
    <x v="0"/>
    <s v="14 Arpents (Le)"/>
    <x v="0"/>
    <s v="Qubec"/>
  </r>
  <r>
    <n v="1138"/>
    <s v="QC"/>
    <x v="8"/>
    <x v="2"/>
    <n v="34"/>
    <s v="Fruity"/>
    <s v="Cheddar aged under vacuum, unctuous texture"/>
    <x v="0"/>
    <x v="0"/>
    <x v="1"/>
    <s v="Pasteurized"/>
    <x v="1"/>
    <s v="Gédéon (Le)"/>
    <x v="1"/>
    <s v="Qubec"/>
  </r>
  <r>
    <n v="1139"/>
    <s v="QC"/>
    <x v="8"/>
    <x v="2"/>
    <n v="50"/>
    <s v="Mild, slightly sweet"/>
    <s v="Mixt shiny rind"/>
    <x v="0"/>
    <x v="4"/>
    <x v="1"/>
    <s v="Pasteurized"/>
    <x v="1"/>
    <s v="Rang des Îles (Le)"/>
    <x v="0"/>
    <s v="Qubec"/>
  </r>
  <r>
    <n v="1140"/>
    <s v="QC"/>
    <x v="8"/>
    <x v="2"/>
    <n v="34"/>
    <s v="Woody"/>
    <s v="Aged cheddar"/>
    <x v="0"/>
    <x v="0"/>
    <x v="1"/>
    <s v="Raw Milk"/>
    <x v="1"/>
    <s v="Petits Vieux (Les)"/>
    <x v="1"/>
    <s v="Qubec"/>
  </r>
  <r>
    <n v="1141"/>
    <s v="QC"/>
    <x v="8"/>
    <x v="2"/>
    <n v="83"/>
    <s v=""/>
    <s v="Fresh creamy cheese"/>
    <x v="0"/>
    <x v="3"/>
    <x v="1"/>
    <s v="Pasteurized"/>
    <x v="1"/>
    <s v="Couventine (Le)"/>
    <x v="0"/>
    <s v="Qubec"/>
  </r>
  <r>
    <n v="1142"/>
    <s v="QC"/>
    <x v="8"/>
    <x v="2"/>
    <n v="39"/>
    <s v="Mild"/>
    <s v="Cheddar, curds or blocks"/>
    <x v="0"/>
    <x v="0"/>
    <x v="1"/>
    <s v="Pasteurized"/>
    <x v="3"/>
    <s v="Médard (Le)"/>
    <x v="1"/>
    <s v="Qubec"/>
  </r>
  <r>
    <n v="1143"/>
    <s v="QC"/>
    <x v="8"/>
    <x v="2"/>
    <n v="52"/>
    <s v="Mushroomy and buttery"/>
    <s v="Sometimes a chalky center"/>
    <x v="0"/>
    <x v="4"/>
    <x v="1"/>
    <s v="Raw Milk"/>
    <x v="2"/>
    <s v="Brise des Vignerons (La)"/>
    <x v="0"/>
    <s v="Qubec"/>
  </r>
  <r>
    <n v="1144"/>
    <s v="QC"/>
    <x v="8"/>
    <x v="2"/>
    <n v="35"/>
    <s v="Fruity and hazelnutty"/>
    <s v="Light yellow rind"/>
    <x v="0"/>
    <x v="0"/>
    <x v="1"/>
    <s v="Raw Milk"/>
    <x v="0"/>
    <s v="Zéphyr (Le)"/>
    <x v="1"/>
    <s v="Qubec"/>
  </r>
  <r>
    <n v="1149"/>
    <s v="QC"/>
    <x v="8"/>
    <x v="2"/>
    <n v="39"/>
    <s v="Hazelnut flavor. Available; mild, medium, strong and extra strong"/>
    <s v="Creamy-colored"/>
    <x v="0"/>
    <x v="0"/>
    <x v="1"/>
    <s v="Pasteurized"/>
    <x v="3"/>
    <s v="Cheddar Beauceron"/>
    <x v="1"/>
    <s v="Qubec"/>
  </r>
  <r>
    <n v="1150"/>
    <s v="QC"/>
    <x v="8"/>
    <x v="2"/>
    <n v="51.7"/>
    <s v=""/>
    <s v=""/>
    <x v="0"/>
    <x v="0"/>
    <x v="1"/>
    <s v="Pasteurized"/>
    <x v="3"/>
    <s v="Cheddar léger 6% (Fromagerie Gilbert)"/>
    <x v="0"/>
    <s v="Qubec"/>
  </r>
  <r>
    <n v="1151"/>
    <s v="QC"/>
    <x v="8"/>
    <x v="2"/>
    <n v="47.9"/>
    <s v=""/>
    <s v=""/>
    <x v="0"/>
    <x v="0"/>
    <x v="1"/>
    <s v="Pasteurized"/>
    <x v="3"/>
    <s v="Cheddar léger 12% (Fromagerie Gilbert)"/>
    <x v="0"/>
    <s v="Qubec"/>
  </r>
  <r>
    <n v="1152"/>
    <s v="QC"/>
    <x v="8"/>
    <x v="2"/>
    <n v="31"/>
    <s v=""/>
    <s v="Preserved in brine"/>
    <x v="0"/>
    <x v="0"/>
    <x v="1"/>
    <s v="Pasteurized"/>
    <x v="3"/>
    <s v="Torti-Beauceron"/>
    <x v="1"/>
    <s v="Qubec"/>
  </r>
  <r>
    <n v="1153"/>
    <s v="QC"/>
    <x v="8"/>
    <x v="2"/>
    <n v="42"/>
    <s v="Hazelnut flavor that intensifies with age"/>
    <s v="Cream-colored cheese"/>
    <x v="0"/>
    <x v="0"/>
    <x v="1"/>
    <s v="Pasteurized"/>
    <x v="3"/>
    <s v="Cheddar Le Bourgadet doux"/>
    <x v="0"/>
    <s v="Qubec"/>
  </r>
  <r>
    <n v="1156"/>
    <s v="QC"/>
    <x v="8"/>
    <x v="2"/>
    <n v="42"/>
    <s v="Hazelnut flavor. Available aged 2 months, 6 months or 2 years"/>
    <s v="Cheddar-type.  Cream-colored"/>
    <x v="0"/>
    <x v="0"/>
    <x v="1"/>
    <s v="Pasteurized"/>
    <x v="3"/>
    <s v="Rivière blanche"/>
    <x v="0"/>
    <s v="Qubec"/>
  </r>
  <r>
    <n v="1157"/>
    <s v="QC"/>
    <x v="8"/>
    <x v="2"/>
    <n v="42"/>
    <s v="Salty"/>
    <s v="Stretched and twisted cheese"/>
    <x v="0"/>
    <x v="0"/>
    <x v="1"/>
    <s v="Pasteurized"/>
    <x v="3"/>
    <s v="Twist arménien"/>
    <x v="0"/>
    <s v="Qubec"/>
  </r>
  <r>
    <n v="1164"/>
    <s v="QC"/>
    <x v="8"/>
    <x v="2"/>
    <n v="39"/>
    <s v=""/>
    <s v="Daily fresh, cheese curds or blocks"/>
    <x v="0"/>
    <x v="0"/>
    <x v="1"/>
    <s v="Pasteurized"/>
    <x v="3"/>
    <s v="Cheddar (Fromagerie Port-Joli)"/>
    <x v="1"/>
    <s v="Qubec"/>
  </r>
  <r>
    <n v="1168"/>
    <s v="QC"/>
    <x v="8"/>
    <x v="2"/>
    <n v="39"/>
    <s v="Hazelnut flavor that intensifies with age. Available; mild, medium, strong and extra strong"/>
    <s v="Creamy-colored giving off a buttery aroma"/>
    <x v="1"/>
    <x v="0"/>
    <x v="1"/>
    <s v="Pasteurized"/>
    <x v="3"/>
    <s v="Cheddar Bio d'Antan"/>
    <x v="1"/>
    <s v="Qubec"/>
  </r>
  <r>
    <n v="1171"/>
    <s v="QC"/>
    <x v="8"/>
    <x v="2"/>
    <n v="39"/>
    <s v=""/>
    <s v="Fresh cheese curds or blocks"/>
    <x v="1"/>
    <x v="0"/>
    <x v="1"/>
    <s v="Pasteurized"/>
    <x v="3"/>
    <s v="Cheddar La Chaudière"/>
    <x v="1"/>
    <s v="Qubec"/>
  </r>
  <r>
    <n v="1174"/>
    <s v="QC"/>
    <x v="8"/>
    <x v="0"/>
    <n v="39"/>
    <s v="Fruit and hazelnut flavors"/>
    <s v="Pressed and not cooked  cheese"/>
    <x v="0"/>
    <x v="0"/>
    <x v="1"/>
    <s v="Raw Milk"/>
    <x v="4"/>
    <s v="Blackburn (Le)"/>
    <x v="1"/>
    <s v="Qubec"/>
  </r>
  <r>
    <n v="1175"/>
    <s v="QC"/>
    <x v="8"/>
    <x v="0"/>
    <n v="46"/>
    <s v="Mild, milky flavor"/>
    <s v="Not cooked cheese, interior-ripened"/>
    <x v="0"/>
    <x v="1"/>
    <x v="1"/>
    <s v="Pasteurized"/>
    <x v="1"/>
    <s v="Cabouron (Le)"/>
    <x v="0"/>
    <s v="Qubec"/>
  </r>
  <r>
    <n v="1176"/>
    <s v="QC"/>
    <x v="8"/>
    <x v="0"/>
    <n v="39"/>
    <s v="Slight buttery and nutty taste"/>
    <s v="Pressed and uncooked cheese"/>
    <x v="0"/>
    <x v="0"/>
    <x v="1"/>
    <s v="Pasteurized"/>
    <x v="3"/>
    <s v="Cheddar Blackburn (Le)"/>
    <x v="1"/>
    <s v="Qubec"/>
  </r>
  <r>
    <n v="1177"/>
    <s v="QC"/>
    <x v="8"/>
    <x v="0"/>
    <n v="46"/>
    <s v="Pronounced with fruity aroma"/>
    <s v="Interior-ripened"/>
    <x v="0"/>
    <x v="1"/>
    <x v="1"/>
    <s v="Pasteurized"/>
    <x v="0"/>
    <s v="Mont-Jacob (Le)"/>
    <x v="0"/>
    <s v="Qubec"/>
  </r>
  <r>
    <n v="1178"/>
    <s v="QC"/>
    <x v="8"/>
    <x v="0"/>
    <n v="39"/>
    <s v="Mild, fruity, leaves a spicy taste in mouth"/>
    <s v="Cooked"/>
    <x v="0"/>
    <x v="0"/>
    <x v="1"/>
    <s v="Raw Milk"/>
    <x v="0"/>
    <s v="Napoléon (Le)"/>
    <x v="1"/>
    <s v="Qubec"/>
  </r>
  <r>
    <n v="1179"/>
    <s v="QC"/>
    <x v="8"/>
    <x v="0"/>
    <n v="37"/>
    <s v="Hazelnut flavour that intensifies with age"/>
    <s v="Aged cheddar"/>
    <x v="0"/>
    <x v="0"/>
    <x v="1"/>
    <s v="Raw Milk"/>
    <x v="3"/>
    <s v="Valida Doux (Le)"/>
    <x v="1"/>
    <s v="Qubec"/>
  </r>
  <r>
    <n v="1180"/>
    <s v="QC"/>
    <x v="8"/>
    <x v="0"/>
    <n v="37"/>
    <s v="Hazelnut flavour that intensifies with age"/>
    <s v="Aged cheddar"/>
    <x v="0"/>
    <x v="0"/>
    <x v="1"/>
    <s v="Raw Milk"/>
    <x v="3"/>
    <s v="Valida Moyen (Le)"/>
    <x v="1"/>
    <s v="Qubec"/>
  </r>
  <r>
    <n v="1181"/>
    <s v="QC"/>
    <x v="8"/>
    <x v="0"/>
    <n v="37"/>
    <s v="Hazelnut flavour that intensifies with age"/>
    <s v="Aged cheddar"/>
    <x v="0"/>
    <x v="0"/>
    <x v="1"/>
    <s v="Raw Milk"/>
    <x v="3"/>
    <s v="Valida Fort (Le)"/>
    <x v="1"/>
    <s v="Qubec"/>
  </r>
  <r>
    <n v="1182"/>
    <s v="QC"/>
    <x v="8"/>
    <x v="2"/>
    <n v="48"/>
    <s v="Cream and salted butter taste, hints of olive"/>
    <s v=""/>
    <x v="1"/>
    <x v="4"/>
    <x v="1"/>
    <s v="Raw Milk"/>
    <x v="0"/>
    <s v="Camplain"/>
    <x v="0"/>
    <s v="Qubec"/>
  </r>
  <r>
    <n v="1183"/>
    <s v="QC"/>
    <x v="8"/>
    <x v="2"/>
    <n v="45"/>
    <s v="Clover and hay taste"/>
    <s v="Copper-colored rind"/>
    <x v="1"/>
    <x v="1"/>
    <x v="1"/>
    <s v="Raw Milk"/>
    <x v="1"/>
    <s v="Réserve La Pérade"/>
    <x v="0"/>
    <s v="Qubec"/>
  </r>
  <r>
    <n v="1184"/>
    <s v="QC"/>
    <x v="8"/>
    <x v="2"/>
    <n v="48"/>
    <s v="Fruity, yellow, with acidic accent."/>
    <s v="Light rind, slightly sticky. Pink with orange tint."/>
    <x v="1"/>
    <x v="1"/>
    <x v="1"/>
    <s v="Raw Milk"/>
    <x v="0"/>
    <s v="Baluchon"/>
    <x v="0"/>
    <s v="Qubec"/>
  </r>
  <r>
    <n v="1185"/>
    <s v="QC"/>
    <x v="8"/>
    <x v="0"/>
    <n v="45"/>
    <s v="Subtle flavor of fruits, butter, nuts and chestnuts"/>
    <s v="Elastic and melting in the mouth, presence of small irregularly dispersed eyes in the cheese"/>
    <x v="0"/>
    <x v="4"/>
    <x v="0"/>
    <s v="Raw Milk"/>
    <x v="2"/>
    <s v="Blanche du Fjord (La)"/>
    <x v="1"/>
    <s v="Qubec"/>
  </r>
  <r>
    <n v="1186"/>
    <s v="QC"/>
    <x v="8"/>
    <x v="2"/>
    <n v="40"/>
    <s v="Slightly salted"/>
    <s v="Roasting cheese"/>
    <x v="0"/>
    <x v="0"/>
    <x v="1"/>
    <s v="Pasteurized"/>
    <x v="1"/>
    <s v="Paillasson de l'Isle d'Orléans (Le)"/>
    <x v="0"/>
    <s v="Qubec"/>
  </r>
  <r>
    <n v="1188"/>
    <s v="QC"/>
    <x v="8"/>
    <x v="1"/>
    <n v="39"/>
    <s v="Curds : salted, fine herbs, BBQ or sea salt. Blocks: garlic and pepper, yellow, chocolate Grand Marnier with pears, marble, sharp, fine herbs, pesto"/>
    <s v="Cheese curds or blocks"/>
    <x v="0"/>
    <x v="0"/>
    <x v="1"/>
    <s v="Pasteurized"/>
    <x v="3"/>
    <s v="Cheddar frais (Qualité Summum)"/>
    <x v="1"/>
    <s v="Qubec"/>
  </r>
  <r>
    <n v="1194"/>
    <s v="QC"/>
    <x v="8"/>
    <x v="2"/>
    <n v="37"/>
    <s v="Available; medium, strong, extra strong, in block, curds, BBQ"/>
    <s v=""/>
    <x v="0"/>
    <x v="0"/>
    <x v="1"/>
    <s v="Pasteurized"/>
    <x v="3"/>
    <s v="Cheddar (Fromagerie Boivin)"/>
    <x v="1"/>
    <s v="Qubec"/>
  </r>
  <r>
    <n v="1195"/>
    <s v="QC"/>
    <x v="8"/>
    <x v="2"/>
    <n v="47"/>
    <s v=""/>
    <s v=""/>
    <x v="0"/>
    <x v="0"/>
    <x v="1"/>
    <s v="Pasteurized"/>
    <x v="3"/>
    <s v="Petit Saguenéen (Le)"/>
    <x v="0"/>
    <s v="Qubec"/>
  </r>
  <r>
    <n v="1196"/>
    <s v="QC"/>
    <x v="8"/>
    <x v="2"/>
    <n v="36"/>
    <s v="Plain or BBQ"/>
    <s v=""/>
    <x v="0"/>
    <x v="0"/>
    <x v="1"/>
    <s v="Pasteurized"/>
    <x v="3"/>
    <s v="Tortillons (Les) (Fromagerie Boivin)"/>
    <x v="1"/>
    <s v="Qubec"/>
  </r>
  <r>
    <n v="1197"/>
    <s v="QC"/>
    <x v="8"/>
    <x v="2"/>
    <n v="39"/>
    <s v=""/>
    <s v=""/>
    <x v="0"/>
    <x v="0"/>
    <x v="1"/>
    <s v="Pasteurized"/>
    <x v="3"/>
    <s v="Cheddar sans sel (Fromagerie Boivin)"/>
    <x v="1"/>
    <s v="Qubec"/>
  </r>
  <r>
    <n v="1198"/>
    <s v="QC"/>
    <x v="8"/>
    <x v="2"/>
    <n v="50"/>
    <s v="Taste of butter and cooked cheese, slightly spicy"/>
    <s v="Roasting cheese"/>
    <x v="0"/>
    <x v="1"/>
    <x v="1"/>
    <s v="Pasteurized"/>
    <x v="1"/>
    <s v="Annobli"/>
    <x v="0"/>
    <s v="Qubec"/>
  </r>
  <r>
    <n v="1199"/>
    <s v="QC"/>
    <x v="8"/>
    <x v="2"/>
    <n v="44"/>
    <s v=""/>
    <s v="Supple white cheese"/>
    <x v="0"/>
    <x v="1"/>
    <x v="1"/>
    <s v="Pasteurized"/>
    <x v="3"/>
    <s v="Monterey Jack (Fromagerie Boivin)"/>
    <x v="0"/>
    <s v="Qubec"/>
  </r>
  <r>
    <n v="1200"/>
    <s v="QC"/>
    <x v="8"/>
    <x v="0"/>
    <n v="53"/>
    <s v="Flavors of butter, cream, hazelnut and mushroom"/>
    <s v="Chalky texture, soft cheese but not runny"/>
    <x v="1"/>
    <x v="4"/>
    <x v="1"/>
    <s v="Pasteurized"/>
    <x v="2"/>
    <s v="Champayeur (Le)"/>
    <x v="0"/>
    <s v="Qubec"/>
  </r>
  <r>
    <n v="1201"/>
    <s v="QC"/>
    <x v="8"/>
    <x v="0"/>
    <n v="42"/>
    <s v="Balanced salty taste"/>
    <s v="Rind scattered with ochred spots"/>
    <x v="1"/>
    <x v="2"/>
    <x v="1"/>
    <s v="Raw Milk"/>
    <x v="1"/>
    <s v="Bleu d'Élizabeth (Le)"/>
    <x v="0"/>
    <s v="Qubec"/>
  </r>
  <r>
    <n v="1202"/>
    <s v="QC"/>
    <x v="8"/>
    <x v="0"/>
    <n v="35"/>
    <s v="Almond and hazelnutty taste"/>
    <s v="Pink-orange-colored rind"/>
    <x v="0"/>
    <x v="1"/>
    <x v="1"/>
    <s v="Raw Milk"/>
    <x v="0"/>
    <s v="Curé-Hébert (Le)"/>
    <x v="1"/>
    <s v="Qubec"/>
  </r>
  <r>
    <n v="1203"/>
    <s v="QC"/>
    <x v="8"/>
    <x v="0"/>
    <n v="35"/>
    <s v="Almond and nutty taste"/>
    <s v="Surface-ripened"/>
    <x v="0"/>
    <x v="0"/>
    <x v="1"/>
    <s v="Raw Milk"/>
    <x v="1"/>
    <s v="Cru du Canton (Le)"/>
    <x v="1"/>
    <s v="Qubec"/>
  </r>
  <r>
    <n v="1204"/>
    <s v="QC"/>
    <x v="8"/>
    <x v="0"/>
    <n v="41"/>
    <s v=""/>
    <s v="Unripened, curds or blocks"/>
    <x v="0"/>
    <x v="0"/>
    <x v="1"/>
    <s v="Pasteurized"/>
    <x v="3"/>
    <s v="Cheddar L'Autre Versant"/>
    <x v="1"/>
    <s v="Qubec"/>
  </r>
  <r>
    <n v="1205"/>
    <s v="QC"/>
    <x v="8"/>
    <x v="2"/>
    <n v="44"/>
    <s v="Slight goaty taste counterbalanced with cow's milk taste"/>
    <s v="Firm and cooked"/>
    <x v="1"/>
    <x v="0"/>
    <x v="3"/>
    <s v="Raw Milk"/>
    <x v="0"/>
    <s v="Grand 2 (Le)"/>
    <x v="0"/>
    <s v="Qubec"/>
  </r>
  <r>
    <n v="1206"/>
    <s v="QC"/>
    <x v="8"/>
    <x v="2"/>
    <n v="45"/>
    <s v="Slightly hazelnutty"/>
    <s v="Amber-colored washed rind"/>
    <x v="1"/>
    <x v="0"/>
    <x v="1"/>
    <s v="Raw Milk"/>
    <x v="0"/>
    <s v="Grondines (Les)"/>
    <x v="1"/>
    <s v="Qubec"/>
  </r>
  <r>
    <n v="1207"/>
    <s v="QC"/>
    <x v="8"/>
    <x v="1"/>
    <n v="42"/>
    <s v="Mild"/>
    <s v="Elastic and smooth texture"/>
    <x v="0"/>
    <x v="0"/>
    <x v="1"/>
    <s v="Pasteurized"/>
    <x v="3"/>
    <s v="Cheddar Coaticook non salé"/>
    <x v="0"/>
    <s v="Qubec"/>
  </r>
  <r>
    <n v="1210"/>
    <s v="QC"/>
    <x v="8"/>
    <x v="1"/>
    <n v="39"/>
    <s v="Pungent and lively, slightly salted.  Available white, couloured, aged, curds"/>
    <s v="Strong aroma, Smooth and supple texture"/>
    <x v="0"/>
    <x v="0"/>
    <x v="1"/>
    <s v="Thermised"/>
    <x v="3"/>
    <s v="Cheddar Coaticook"/>
    <x v="1"/>
    <s v="Qubec"/>
  </r>
  <r>
    <n v="1211"/>
    <s v="QC"/>
    <x v="8"/>
    <x v="1"/>
    <n v="50"/>
    <s v="Slightly salted milk flavor"/>
    <s v="Compact"/>
    <x v="0"/>
    <x v="0"/>
    <x v="1"/>
    <s v="Pasteurized"/>
    <x v="3"/>
    <s v="Mozzarella (Coaticook)"/>
    <x v="0"/>
    <s v="Qubec"/>
  </r>
  <r>
    <n v="1212"/>
    <s v="QC"/>
    <x v="8"/>
    <x v="1"/>
    <n v="45"/>
    <s v="Salty"/>
    <s v="Firm texture, soaking in brine"/>
    <x v="0"/>
    <x v="0"/>
    <x v="1"/>
    <s v="Pasteurized"/>
    <x v="3"/>
    <s v="Saumuré Coaticook"/>
    <x v="0"/>
    <s v="Qubec"/>
  </r>
  <r>
    <n v="1213"/>
    <s v="QC"/>
    <x v="8"/>
    <x v="1"/>
    <n v="39"/>
    <s v="Hazelnut and salty flavour. Available mild and strong"/>
    <s v="Unripened"/>
    <x v="0"/>
    <x v="0"/>
    <x v="2"/>
    <s v="Pasteurized"/>
    <x v="1"/>
    <s v="Capricook"/>
    <x v="1"/>
    <s v="Qubec"/>
  </r>
  <r>
    <n v="1215"/>
    <s v="QC"/>
    <x v="8"/>
    <x v="2"/>
    <n v="63"/>
    <s v=""/>
    <s v="Creamy spreadable cheese"/>
    <x v="0"/>
    <x v="4"/>
    <x v="2"/>
    <s v="Pasteurized"/>
    <x v="3"/>
    <s v="Écume des Rapides (L')"/>
    <x v="0"/>
    <s v="Qubec"/>
  </r>
  <r>
    <n v="1216"/>
    <s v="QC"/>
    <x v="8"/>
    <x v="2"/>
    <n v="40"/>
    <s v="Fruity"/>
    <s v="Firm cheese, cooked"/>
    <x v="0"/>
    <x v="0"/>
    <x v="2"/>
    <s v="Pasteurized"/>
    <x v="1"/>
    <s v="Doux du Fort (Le)"/>
    <x v="1"/>
    <s v="Qubec"/>
  </r>
  <r>
    <n v="1217"/>
    <s v="QC"/>
    <x v="8"/>
    <x v="2"/>
    <n v="45"/>
    <s v="Flavored with Michel Jodoin's apple Brandy"/>
    <s v=""/>
    <x v="0"/>
    <x v="3"/>
    <x v="2"/>
    <s v="Pasteurized"/>
    <x v="3"/>
    <s v="Pompette (Le)"/>
    <x v="0"/>
    <s v="Qubec"/>
  </r>
  <r>
    <n v="1218"/>
    <s v="QC"/>
    <x v="8"/>
    <x v="2"/>
    <n v="58"/>
    <s v=""/>
    <s v="Unripened cheese"/>
    <x v="0"/>
    <x v="4"/>
    <x v="2"/>
    <s v="Pasteurized"/>
    <x v="3"/>
    <s v="Amourettes - Tomates séchées et basilic"/>
    <x v="0"/>
    <s v="Qubec"/>
  </r>
  <r>
    <n v="1219"/>
    <s v="QC"/>
    <x v="8"/>
    <x v="2"/>
    <n v="58"/>
    <s v=""/>
    <s v="Unripened cheese"/>
    <x v="0"/>
    <x v="4"/>
    <x v="2"/>
    <s v="Pasteurized"/>
    <x v="3"/>
    <s v="Amourettes - Fines herbes"/>
    <x v="0"/>
    <s v="Qubec"/>
  </r>
  <r>
    <n v="1220"/>
    <s v="QC"/>
    <x v="8"/>
    <x v="2"/>
    <n v="45"/>
    <s v="Fresh"/>
    <s v="Preserved in sunflower and olive oil"/>
    <x v="0"/>
    <x v="3"/>
    <x v="2"/>
    <s v="Pasteurized"/>
    <x v="3"/>
    <s v="Dames de Chambly"/>
    <x v="0"/>
    <s v="Qubec"/>
  </r>
  <r>
    <n v="1221"/>
    <s v="QC"/>
    <x v="8"/>
    <x v="2"/>
    <n v="39"/>
    <s v="Also seasoned with fine herbs"/>
    <s v="Cheese curds (41% humidity) or blocks"/>
    <x v="0"/>
    <x v="0"/>
    <x v="1"/>
    <s v="Pasteurized"/>
    <x v="3"/>
    <s v="Cheddar frais (Fromagerie Victoria)"/>
    <x v="1"/>
    <s v="Qubec"/>
  </r>
  <r>
    <n v="1222"/>
    <s v="QC"/>
    <x v="8"/>
    <x v="2"/>
    <n v="39"/>
    <s v="Available plain or with olives"/>
    <s v=""/>
    <x v="0"/>
    <x v="0"/>
    <x v="1"/>
    <s v="Pasteurized"/>
    <x v="3"/>
    <s v="Cheddar médium (Fromagerie Victoria)"/>
    <x v="1"/>
    <s v="Qubec"/>
  </r>
  <r>
    <n v="1223"/>
    <s v="QC"/>
    <x v="8"/>
    <x v="2"/>
    <n v="39"/>
    <s v="Pronounced"/>
    <s v=""/>
    <x v="0"/>
    <x v="0"/>
    <x v="1"/>
    <s v="Pasteurized"/>
    <x v="3"/>
    <s v="Cheddar fort (Fromagerie Victoria)"/>
    <x v="1"/>
    <s v="Qubec"/>
  </r>
  <r>
    <n v="1224"/>
    <s v="QC"/>
    <x v="8"/>
    <x v="2"/>
    <n v="45"/>
    <s v="Salty"/>
    <s v="Twisted cheese"/>
    <x v="0"/>
    <x v="0"/>
    <x v="1"/>
    <s v="Pasteurized"/>
    <x v="3"/>
    <s v="Darac"/>
    <x v="0"/>
    <s v="Qubec"/>
  </r>
  <r>
    <n v="1225"/>
    <s v="QC"/>
    <x v="8"/>
    <x v="2"/>
    <n v="38"/>
    <s v="Caprine flavor slightly acid and salty"/>
    <s v="Gouda type cheese with red waxed rind. Ivory-colored cheese with a crumbly texture."/>
    <x v="0"/>
    <x v="0"/>
    <x v="2"/>
    <s v="Pasteurized"/>
    <x v="1"/>
    <s v="Athonite"/>
    <x v="0"/>
    <s v="Qubec"/>
  </r>
  <r>
    <n v="1226"/>
    <s v="QC"/>
    <x v="8"/>
    <x v="2"/>
    <n v="33"/>
    <s v="Butter and almond aftertaste"/>
    <s v="Havarti type cheese covered with yellow wax. Ivory-colored cheese with small holes."/>
    <x v="0"/>
    <x v="0"/>
    <x v="2"/>
    <s v="Pasteurized"/>
    <x v="1"/>
    <s v="Bon Berger"/>
    <x v="1"/>
    <s v="Qubec"/>
  </r>
  <r>
    <n v="1227"/>
    <s v="QC"/>
    <x v="8"/>
    <x v="2"/>
    <n v="60"/>
    <s v="Mild and salted with an almond and buttery aftertaste"/>
    <s v="Damp and crumbly"/>
    <x v="0"/>
    <x v="1"/>
    <x v="5"/>
    <s v="Pasteurized"/>
    <x v="3"/>
    <s v="Féta (Troupeau Bénit)"/>
    <x v="0"/>
    <s v="Qubec"/>
  </r>
  <r>
    <n v="1228"/>
    <s v="QC"/>
    <x v="8"/>
    <x v="2"/>
    <n v="36"/>
    <s v="Mild, buttery and hazelnut flavour with a hint of fruits and salt"/>
    <s v="Gruyere type cheese. Ivory-colored cheese with small holes irregularly dispersed."/>
    <x v="0"/>
    <x v="0"/>
    <x v="5"/>
    <s v="Pasteurized"/>
    <x v="1"/>
    <s v="Graviera"/>
    <x v="1"/>
    <s v="Qubec"/>
  </r>
  <r>
    <n v="1229"/>
    <s v="QC"/>
    <x v="8"/>
    <x v="2"/>
    <n v="60"/>
    <s v="Available plain or seasoned with chives, provençal herbs, mint and peppers or onion"/>
    <s v="Creamy and white cheese, ball-shaped"/>
    <x v="0"/>
    <x v="3"/>
    <x v="2"/>
    <s v="Pasteurized"/>
    <x v="3"/>
    <s v="Petites Soeurs (Les)"/>
    <x v="0"/>
    <s v="Qubec"/>
  </r>
  <r>
    <n v="1231"/>
    <s v="QC"/>
    <x v="8"/>
    <x v="2"/>
    <n v="33"/>
    <s v="Mild, slightly salty and acid with an almond and butter aftertaste. Seasoned with pepper and onions or with garden fine herbs"/>
    <s v="Havarti-type cheese. Firm and crumbly texture. Ivory-colored. Covered with yellow wax."/>
    <x v="0"/>
    <x v="0"/>
    <x v="2"/>
    <s v="Pasteurized"/>
    <x v="3"/>
    <s v="Symandre"/>
    <x v="1"/>
    <s v="Qubec"/>
  </r>
  <r>
    <n v="1240"/>
    <s v="QC"/>
    <x v="8"/>
    <x v="0"/>
    <n v="70"/>
    <s v="Available plain or seasoned with fine herbs or pepper"/>
    <s v="Fresh goat cheese ladle-molded, fine and creamy texture good for spreading"/>
    <x v="0"/>
    <x v="3"/>
    <x v="2"/>
    <s v="Pasteurized"/>
    <x v="3"/>
    <s v="Alpin (L')"/>
    <x v="0"/>
    <s v="Qubec"/>
  </r>
  <r>
    <n v="1241"/>
    <s v="QC"/>
    <x v="8"/>
    <x v="0"/>
    <n v="70"/>
    <s v="Mild, with fine herbs"/>
    <s v=""/>
    <x v="0"/>
    <x v="3"/>
    <x v="2"/>
    <s v="Pasteurized"/>
    <x v="3"/>
    <s v="Boules de neige (Les)"/>
    <x v="0"/>
    <s v="Qubec"/>
  </r>
  <r>
    <n v="1242"/>
    <s v="QC"/>
    <x v="8"/>
    <x v="0"/>
    <n v="56"/>
    <s v="Available in 6 different flavors : plain, five peppers, spicy pepper, fresh garlic, Provençal herbs and chives"/>
    <s v="Lactic cheese"/>
    <x v="1"/>
    <x v="4"/>
    <x v="2"/>
    <s v="Pasteurized"/>
    <x v="3"/>
    <s v="Petit Pâturin (Le)"/>
    <x v="0"/>
    <s v="Qubec"/>
  </r>
  <r>
    <n v="1243"/>
    <s v="QC"/>
    <x v="8"/>
    <x v="0"/>
    <n v="48"/>
    <s v="Light butter, hazelnut and mushroom flavour with a caprine aftertaste"/>
    <s v="White lactic soft cheese, chalky and creamy texture, natural rind (geotrichum)"/>
    <x v="1"/>
    <x v="4"/>
    <x v="2"/>
    <s v="Pasteurized"/>
    <x v="1"/>
    <s v="Ange Fourchu (L')"/>
    <x v="0"/>
    <s v="Qubec"/>
  </r>
  <r>
    <n v="1244"/>
    <s v="QC"/>
    <x v="8"/>
    <x v="0"/>
    <n v="56"/>
    <s v=""/>
    <s v="Soft lactic cheese balls, soaked with a mix of oils and seasonings"/>
    <x v="1"/>
    <x v="4"/>
    <x v="2"/>
    <s v="Pasteurized"/>
    <x v="3"/>
    <s v="Grelotins à l'huile aromatisée"/>
    <x v="0"/>
    <s v="Qubec"/>
  </r>
  <r>
    <n v="1245"/>
    <s v="QC"/>
    <x v="8"/>
    <x v="0"/>
    <n v="45"/>
    <s v="Goat flavour"/>
    <s v="Supple texture"/>
    <x v="1"/>
    <x v="1"/>
    <x v="2"/>
    <s v="Pasteurized"/>
    <x v="0"/>
    <s v="Chevalier de Lorimier"/>
    <x v="0"/>
    <s v="Qubec"/>
  </r>
  <r>
    <n v="1246"/>
    <s v="QC"/>
    <x v="8"/>
    <x v="0"/>
    <n v="42"/>
    <s v=""/>
    <s v="Goat's cheese curds"/>
    <x v="1"/>
    <x v="0"/>
    <x v="2"/>
    <s v="Pasteurized"/>
    <x v="3"/>
    <s v="Fromage en grains la Chèvrerie Barrousse"/>
    <x v="0"/>
    <s v="Qubec"/>
  </r>
  <r>
    <n v="1248"/>
    <s v="QC"/>
    <x v="8"/>
    <x v="2"/>
    <n v="46"/>
    <s v="Spicy without being aggressive"/>
    <s v="Natural or mixed rind. Rich and creamy texture."/>
    <x v="0"/>
    <x v="4"/>
    <x v="4"/>
    <s v="Pasteurized"/>
    <x v="0"/>
    <s v="Clandestin (Le)"/>
    <x v="1"/>
    <s v="Qubec"/>
  </r>
  <r>
    <n v="1249"/>
    <s v="QC"/>
    <x v="8"/>
    <x v="2"/>
    <n v="52"/>
    <s v="Mushroomy"/>
    <s v="Washed rind goat cheese, creamy texture"/>
    <x v="0"/>
    <x v="4"/>
    <x v="2"/>
    <s v="Pasteurized"/>
    <x v="0"/>
    <s v="Sentinelle"/>
    <x v="0"/>
    <s v="Qubec"/>
  </r>
  <r>
    <n v="1250"/>
    <s v="QC"/>
    <x v="8"/>
    <x v="2"/>
    <n v="50"/>
    <s v="Very spicy"/>
    <s v="Cream-colored cheese with a smooth texture"/>
    <x v="0"/>
    <x v="4"/>
    <x v="1"/>
    <s v="Pasteurized"/>
    <x v="0"/>
    <s v="Magie de Madawaska"/>
    <x v="0"/>
    <s v="Qubec"/>
  </r>
  <r>
    <n v="1252"/>
    <s v="QC"/>
    <x v="8"/>
    <x v="2"/>
    <n v="50"/>
    <s v="Buttery"/>
    <s v="Creamy and supple texture"/>
    <x v="0"/>
    <x v="4"/>
    <x v="1"/>
    <s v="Pasteurized"/>
    <x v="2"/>
    <s v="Marquis de Témiscouata"/>
    <x v="1"/>
    <s v="Qubec"/>
  </r>
  <r>
    <n v="1253"/>
    <s v="QC"/>
    <x v="8"/>
    <x v="2"/>
    <n v="56"/>
    <s v="Very Mild"/>
    <s v="Supple and smooth texture, bloomy rind"/>
    <x v="0"/>
    <x v="1"/>
    <x v="1"/>
    <s v="Pasteurized"/>
    <x v="2"/>
    <s v="Dame du Lac (La)"/>
    <x v="0"/>
    <s v="Qubec"/>
  </r>
  <r>
    <n v="1254"/>
    <s v="QC"/>
    <x v="8"/>
    <x v="2"/>
    <n v="37"/>
    <s v="Acidulous and alcoholic"/>
    <s v="Light yellowy color"/>
    <x v="0"/>
    <x v="0"/>
    <x v="1"/>
    <s v=""/>
    <x v="3"/>
    <s v="Petit Émile (Le)"/>
    <x v="1"/>
    <s v="Qubec"/>
  </r>
  <r>
    <n v="1256"/>
    <s v="QC"/>
    <x v="8"/>
    <x v="2"/>
    <n v="52"/>
    <s v="Slight mushroom taste"/>
    <s v="Goat's Brie"/>
    <x v="0"/>
    <x v="4"/>
    <x v="2"/>
    <s v="Pasteurized"/>
    <x v="2"/>
    <s v="Citadelle"/>
    <x v="0"/>
    <s v="Qubec"/>
  </r>
  <r>
    <n v="1257"/>
    <s v="QC"/>
    <x v="8"/>
    <x v="0"/>
    <n v="60"/>
    <s v="Fresh and acidulous"/>
    <s v="Ladle-molded"/>
    <x v="1"/>
    <x v="3"/>
    <x v="2"/>
    <s v="Pasteurized"/>
    <x v="3"/>
    <s v="Chèvre frais fermier"/>
    <x v="0"/>
    <s v="Qubec"/>
  </r>
  <r>
    <n v="1258"/>
    <s v="QC"/>
    <x v="8"/>
    <x v="0"/>
    <n v="35"/>
    <s v="Fruity and hazelnutty"/>
    <s v="Firm cheese, mixed rind"/>
    <x v="1"/>
    <x v="0"/>
    <x v="2"/>
    <s v="Raw Milk"/>
    <x v="1"/>
    <s v="Tire-Lune"/>
    <x v="1"/>
    <s v="Qubec"/>
  </r>
  <r>
    <n v="1259"/>
    <s v="QC"/>
    <x v="8"/>
    <x v="0"/>
    <n v="46"/>
    <s v="Creamy taste, slightly goaty"/>
    <s v="Supple texture, mixed rind"/>
    <x v="1"/>
    <x v="1"/>
    <x v="2"/>
    <s v="Pasteurized"/>
    <x v="1"/>
    <s v="Galarneau"/>
    <x v="1"/>
    <s v="Qubec"/>
  </r>
  <r>
    <n v="1262"/>
    <s v="QC"/>
    <x v="8"/>
    <x v="1"/>
    <n v="54"/>
    <s v="Fresh buttery, mushrooms and hazelnut notes"/>
    <s v="Supple and smooth cheese, creamy texture, white bloomy rind."/>
    <x v="0"/>
    <x v="4"/>
    <x v="1"/>
    <s v="Pasteurized"/>
    <x v="2"/>
    <s v="Petit Brie DuVillage"/>
    <x v="0"/>
    <s v="Qubec"/>
  </r>
  <r>
    <n v="1263"/>
    <s v="QC"/>
    <x v="8"/>
    <x v="1"/>
    <n v="52"/>
    <s v="Fruity, mushrooms and hazelnut flavor"/>
    <s v="Soft cheese with a hint of cream"/>
    <x v="0"/>
    <x v="4"/>
    <x v="1"/>
    <s v="Pasteurized"/>
    <x v="2"/>
    <s v="Double Crème DuVillage"/>
    <x v="1"/>
    <s v="Qubec"/>
  </r>
  <r>
    <n v="1264"/>
    <s v="QC"/>
    <x v="8"/>
    <x v="1"/>
    <n v="48"/>
    <s v="Heated milk and buttery flavor"/>
    <s v="Coated with vegetable ash, creamy texture"/>
    <x v="0"/>
    <x v="4"/>
    <x v="1"/>
    <s v="Pasteurized"/>
    <x v="1"/>
    <s v="Cendré de Lune"/>
    <x v="1"/>
    <s v="Qubec"/>
  </r>
  <r>
    <n v="1265"/>
    <s v="QC"/>
    <x v="8"/>
    <x v="1"/>
    <n v="50"/>
    <s v="Acidulous, pungent hint of honey and flowers"/>
    <s v="Fine toad-like rind, runny and creamy texture"/>
    <x v="0"/>
    <x v="4"/>
    <x v="1"/>
    <s v="Pasteurized"/>
    <x v="2"/>
    <s v="Évanjules (L')"/>
    <x v="0"/>
    <s v="Qubec"/>
  </r>
  <r>
    <n v="1266"/>
    <s v="QC"/>
    <x v="8"/>
    <x v="1"/>
    <n v="48"/>
    <s v="Slightly acidulous when young, develops a buttery and heated milk taste through ripening"/>
    <s v="Coated with vegetable ash, creamy texture"/>
    <x v="0"/>
    <x v="4"/>
    <x v="1"/>
    <s v="Pasteurized"/>
    <x v="1"/>
    <s v="Pleine Lune (Le)"/>
    <x v="1"/>
    <s v="Qubec"/>
  </r>
  <r>
    <n v="1267"/>
    <s v="QC"/>
    <x v="8"/>
    <x v="1"/>
    <n v="45"/>
    <s v="Mild to sharp depending on the age"/>
    <s v="White to beige-colored"/>
    <x v="0"/>
    <x v="4"/>
    <x v="1"/>
    <s v="Pasteurized"/>
    <x v="2"/>
    <s v="Fleur de Lys"/>
    <x v="1"/>
    <s v="Qubec"/>
  </r>
  <r>
    <n v="1268"/>
    <s v="QC"/>
    <x v="8"/>
    <x v="1"/>
    <n v="45"/>
    <s v="Subtle flowery and brioche aroma"/>
    <s v="Rich and smooth texture"/>
    <x v="0"/>
    <x v="4"/>
    <x v="1"/>
    <s v="Pasteurized"/>
    <x v="2"/>
    <s v="Lady Laurier d'Arthabaska"/>
    <x v="1"/>
    <s v="Qubec"/>
  </r>
  <r>
    <n v="1269"/>
    <s v="QC"/>
    <x v="8"/>
    <x v="1"/>
    <n v="55"/>
    <s v="Intense and fruity taste, honey and flowery aftertaste"/>
    <s v="Orange washed rind, rich and creamy texture"/>
    <x v="0"/>
    <x v="4"/>
    <x v="1"/>
    <s v="Pasteurized"/>
    <x v="0"/>
    <s v="Maître Jules"/>
    <x v="0"/>
    <s v="Qubec"/>
  </r>
  <r>
    <n v="1270"/>
    <s v="QC"/>
    <x v="8"/>
    <x v="1"/>
    <n v="46"/>
    <s v="Nutty and fresh butter taste"/>
    <s v="Light beige color, soft and smooth texture"/>
    <x v="0"/>
    <x v="1"/>
    <x v="1"/>
    <s v="Pasteurized"/>
    <x v="1"/>
    <s v="Saint-Paulin DuVillage"/>
    <x v="0"/>
    <s v="Qubec"/>
  </r>
  <r>
    <n v="1271"/>
    <s v="QC"/>
    <x v="8"/>
    <x v="1"/>
    <n v="48"/>
    <s v="Fresh apples and nutty flavor with an acid hint"/>
    <s v="Light yellow or copper-colored washed rind, creamy-colored interior with a smooth and supple texture"/>
    <x v="0"/>
    <x v="0"/>
    <x v="1"/>
    <s v="Pasteurized"/>
    <x v="0"/>
    <s v="Vacherin DuVillage"/>
    <x v="0"/>
    <s v="Qubec"/>
  </r>
  <r>
    <n v="1272"/>
    <s v="QC"/>
    <x v="8"/>
    <x v="1"/>
    <n v="40"/>
    <s v="Fruity and slightly nutty flavor"/>
    <s v="Pressed and uncooked"/>
    <x v="0"/>
    <x v="0"/>
    <x v="1"/>
    <s v="Pasteurized"/>
    <x v="1"/>
    <s v="Mont Gleason"/>
    <x v="0"/>
    <s v="Qubec"/>
  </r>
  <r>
    <n v="1273"/>
    <s v="QC"/>
    <x v="8"/>
    <x v="1"/>
    <n v="46"/>
    <s v="Buttery taste"/>
    <s v="Orange washed rind, creamy-colored interior, tender texture"/>
    <x v="0"/>
    <x v="1"/>
    <x v="1"/>
    <s v="Pasteurized"/>
    <x v="0"/>
    <s v="Raclette DuVillage"/>
    <x v="0"/>
    <s v="Qubec"/>
  </r>
  <r>
    <n v="1274"/>
    <s v="QC"/>
    <x v="8"/>
    <x v="1"/>
    <n v="45"/>
    <s v="Notes of cream, fresh farm milk and a hint of hazelnut"/>
    <s v="Pressed surface ripened"/>
    <x v="0"/>
    <x v="1"/>
    <x v="1"/>
    <s v="Pasteurized"/>
    <x v="0"/>
    <s v="Cantonnier"/>
    <x v="1"/>
    <s v="Qubec"/>
  </r>
  <r>
    <n v="1275"/>
    <s v="QC"/>
    <x v="8"/>
    <x v="1"/>
    <n v="46"/>
    <s v="Mild and fruity with aroma of hazelnut and hay"/>
    <s v="Surface ripened with washed rind, bears a horizontal strip of vegetable carbon"/>
    <x v="0"/>
    <x v="1"/>
    <x v="1"/>
    <s v="Raw Milk"/>
    <x v="0"/>
    <s v="Cendré (Le)"/>
    <x v="0"/>
    <s v="Qubec"/>
  </r>
  <r>
    <n v="1276"/>
    <s v="QC"/>
    <x v="8"/>
    <x v="1"/>
    <n v="46"/>
    <s v="Mild and fruity"/>
    <s v="Surface ripened, edible orange rind"/>
    <x v="0"/>
    <x v="1"/>
    <x v="1"/>
    <s v="Pasteurized"/>
    <x v="0"/>
    <s v="Saint-Médard"/>
    <x v="0"/>
    <s v="Qubec"/>
  </r>
  <r>
    <n v="1277"/>
    <s v="QC"/>
    <x v="8"/>
    <x v="1"/>
    <n v="40"/>
    <s v="Mild"/>
    <s v="Emmental type cheese, no rind"/>
    <x v="0"/>
    <x v="0"/>
    <x v="1"/>
    <s v="Pasteurized"/>
    <x v="1"/>
    <s v="Kingsberg"/>
    <x v="0"/>
    <s v="Qubec"/>
  </r>
  <r>
    <n v="1278"/>
    <s v="QC"/>
    <x v="8"/>
    <x v="1"/>
    <n v="55"/>
    <s v="Creamy taste, exudes intense and expansive aroma"/>
    <s v="Surface ripened, washed, shiny rind which is slightly wrinkled"/>
    <x v="0"/>
    <x v="4"/>
    <x v="1"/>
    <s v="Pasteurized"/>
    <x v="0"/>
    <s v="Sir Laurier d'Arthabaska"/>
    <x v="0"/>
    <s v="Qubec"/>
  </r>
  <r>
    <n v="1279"/>
    <s v="QC"/>
    <x v="8"/>
    <x v="1"/>
    <n v="48"/>
    <s v="Butter and cream flavor with a pungent hint"/>
    <s v="Bloomy rind, creamy texture"/>
    <x v="0"/>
    <x v="4"/>
    <x v="1"/>
    <s v="Pasteurized"/>
    <x v="2"/>
    <s v="Triple Crème Du Village"/>
    <x v="1"/>
    <s v="Qubec"/>
  </r>
  <r>
    <n v="1280"/>
    <s v="QC"/>
    <x v="8"/>
    <x v="1"/>
    <n v="55"/>
    <s v="Creamy flavor, hazelnut and flowery hints"/>
    <s v="Fully ripened, washed rind cheese"/>
    <x v="0"/>
    <x v="4"/>
    <x v="1"/>
    <s v="Raw Milk"/>
    <x v="0"/>
    <s v="Petit Rubis (Le)"/>
    <x v="0"/>
    <s v="Qubec"/>
  </r>
  <r>
    <n v="1281"/>
    <s v="QC"/>
    <x v="8"/>
    <x v="1"/>
    <n v="52"/>
    <s v="Creamy taste"/>
    <s v="Brie cheese made with goat's milk, runny interior"/>
    <x v="0"/>
    <x v="4"/>
    <x v="2"/>
    <s v="Pasteurized"/>
    <x v="2"/>
    <s v="Chèbrie"/>
    <x v="0"/>
    <s v="Qubec"/>
  </r>
  <r>
    <n v="1282"/>
    <s v="QC"/>
    <x v="8"/>
    <x v="1"/>
    <n v="52"/>
    <s v="Rich and creamy taste"/>
    <s v="Goat's soft cheese, ripened"/>
    <x v="0"/>
    <x v="4"/>
    <x v="2"/>
    <s v="Pasteurized"/>
    <x v="2"/>
    <s v="Princeville"/>
    <x v="0"/>
    <s v="Qubec"/>
  </r>
  <r>
    <n v="1283"/>
    <s v="QC"/>
    <x v="8"/>
    <x v="1"/>
    <n v="54"/>
    <s v="Rich and creamy taste"/>
    <s v="Ivory-colored cheese, surface-ripenend"/>
    <x v="0"/>
    <x v="4"/>
    <x v="2"/>
    <s v="Pasteurized"/>
    <x v="1"/>
    <s v="Tre Fratello"/>
    <x v="0"/>
    <s v="Qubec"/>
  </r>
  <r>
    <n v="1284"/>
    <s v="QC"/>
    <x v="8"/>
    <x v="1"/>
    <n v="54"/>
    <s v="Rich and creamy taste"/>
    <s v="Goat soft cheese, surface-ripened"/>
    <x v="0"/>
    <x v="4"/>
    <x v="2"/>
    <s v="Pasteurized"/>
    <x v="1"/>
    <s v="Castile"/>
    <x v="0"/>
    <s v="Qubec"/>
  </r>
  <r>
    <n v="1285"/>
    <s v="QC"/>
    <x v="8"/>
    <x v="1"/>
    <n v="54"/>
    <s v="Rich and creamy taste"/>
    <s v="Goat cheese, surface ripenened"/>
    <x v="0"/>
    <x v="4"/>
    <x v="2"/>
    <s v="Pasteurized"/>
    <x v="1"/>
    <s v="Capella"/>
    <x v="0"/>
    <s v="Qubec"/>
  </r>
  <r>
    <n v="1286"/>
    <s v="QC"/>
    <x v="8"/>
    <x v="2"/>
    <n v="42"/>
    <s v="Rich"/>
    <s v="Surface-ripened, white mold"/>
    <x v="1"/>
    <x v="4"/>
    <x v="3"/>
    <s v="Pasteurized"/>
    <x v="2"/>
    <s v="Kunik"/>
    <x v="1"/>
    <s v="Qubec"/>
  </r>
  <r>
    <n v="1288"/>
    <s v="QC"/>
    <x v="8"/>
    <x v="0"/>
    <n v="80"/>
    <s v="Creamy taste"/>
    <s v="Unctuous and velvety spreadable cheese"/>
    <x v="1"/>
    <x v="3"/>
    <x v="1"/>
    <s v="Pasteurized"/>
    <x v="3"/>
    <s v="Avalanche"/>
    <x v="0"/>
    <s v="Qubec"/>
  </r>
  <r>
    <n v="1289"/>
    <s v="QC"/>
    <x v="8"/>
    <x v="0"/>
    <n v="80"/>
    <s v="Fresh cream taste"/>
    <s v=""/>
    <x v="1"/>
    <x v="3"/>
    <x v="1"/>
    <s v="Pasteurized"/>
    <x v="3"/>
    <s v="Cottage de la Beurrerie du Patrimoine"/>
    <x v="0"/>
    <s v="Qubec"/>
  </r>
  <r>
    <n v="1290"/>
    <s v="QC"/>
    <x v="8"/>
    <x v="0"/>
    <n v="45"/>
    <s v="Pronounced hazelnut flavor and butter"/>
    <s v="Camembert-type cheese,"/>
    <x v="1"/>
    <x v="1"/>
    <x v="3"/>
    <s v="Thermised"/>
    <x v="0"/>
    <s v="Canadiane"/>
    <x v="0"/>
    <s v="Qubec"/>
  </r>
  <r>
    <n v="1291"/>
    <s v="QC"/>
    <x v="8"/>
    <x v="0"/>
    <n v="45"/>
    <s v="Mushroomy and buttery"/>
    <s v="Munster-type cheese, washed rind"/>
    <x v="1"/>
    <x v="1"/>
    <x v="1"/>
    <s v="Thermised"/>
    <x v="0"/>
    <s v="Vent d'est"/>
    <x v="0"/>
    <s v="Qubec"/>
  </r>
  <r>
    <n v="1292"/>
    <s v="QC"/>
    <x v="8"/>
    <x v="1"/>
    <n v="39"/>
    <s v="Plain or seasoned"/>
    <s v="Cheese curds or pressed"/>
    <x v="0"/>
    <x v="0"/>
    <x v="1"/>
    <s v="Pasteurized"/>
    <x v="3"/>
    <s v="Cheddar frais Côte-de-Beaupré"/>
    <x v="1"/>
    <s v="Qubec"/>
  </r>
  <r>
    <n v="1293"/>
    <s v="QC"/>
    <x v="8"/>
    <x v="1"/>
    <n v="45"/>
    <s v="Goat butter taste, more pronounced taste than the Caprano, without being overly pungent"/>
    <s v=""/>
    <x v="0"/>
    <x v="0"/>
    <x v="2"/>
    <s v="Pasteurized"/>
    <x v="3"/>
    <s v="Caprano vieilli"/>
    <x v="0"/>
    <s v="Qubec"/>
  </r>
  <r>
    <n v="1294"/>
    <s v="QC"/>
    <x v="8"/>
    <x v="1"/>
    <n v="50"/>
    <s v="Acidulous, semi-strong taste"/>
    <s v="Soft cheese, surface-ripened"/>
    <x v="0"/>
    <x v="4"/>
    <x v="2"/>
    <s v="Pasteurized"/>
    <x v="1"/>
    <s v="Cendrillon (Le)"/>
    <x v="0"/>
    <s v="Qubec"/>
  </r>
  <r>
    <n v="1295"/>
    <s v="QC"/>
    <x v="8"/>
    <x v="1"/>
    <n v="50"/>
    <s v=""/>
    <s v="Double cream Brie"/>
    <x v="0"/>
    <x v="4"/>
    <x v="1"/>
    <s v="Pasteurized"/>
    <x v="2"/>
    <s v="Rumeur (La)"/>
    <x v="1"/>
    <s v="Qubec"/>
  </r>
  <r>
    <n v="1296"/>
    <s v="QC"/>
    <x v="8"/>
    <x v="1"/>
    <n v="50"/>
    <s v="Typed and aromatic"/>
    <s v="Thin rind, creamy and supple texture"/>
    <x v="0"/>
    <x v="4"/>
    <x v="1"/>
    <s v="Pasteurized"/>
    <x v="2"/>
    <s v="Camembert de Portneuf"/>
    <x v="1"/>
    <s v="Qubec"/>
  </r>
  <r>
    <n v="1297"/>
    <s v="QC"/>
    <x v="8"/>
    <x v="1"/>
    <n v="50"/>
    <s v="It has flavous of butter, fresh mushrooms and hazelnuts that become more pronounced with age"/>
    <s v="It has a bloomy rind with a creamy interior"/>
    <x v="0"/>
    <x v="4"/>
    <x v="1"/>
    <s v="Pasteurized"/>
    <x v="2"/>
    <s v="Brise du Matin"/>
    <x v="1"/>
    <s v="Qubec"/>
  </r>
  <r>
    <n v="1298"/>
    <s v="QC"/>
    <x v="8"/>
    <x v="1"/>
    <n v="50"/>
    <s v="Mild and creamy with a nutty flavour"/>
    <s v="Double cream"/>
    <x v="0"/>
    <x v="4"/>
    <x v="1"/>
    <s v="Pasteurized"/>
    <x v="2"/>
    <s v="Brie double crème de Portneuf"/>
    <x v="1"/>
    <s v="Qubec"/>
  </r>
  <r>
    <n v="1299"/>
    <s v="QC"/>
    <x v="8"/>
    <x v="1"/>
    <n v="50"/>
    <s v="Slightly fruity"/>
    <s v="Regular Brie"/>
    <x v="0"/>
    <x v="4"/>
    <x v="1"/>
    <s v="Pasteurized"/>
    <x v="2"/>
    <s v="Brie de Portneuf"/>
    <x v="0"/>
    <s v="Qubec"/>
  </r>
  <r>
    <n v="1300"/>
    <s v="QC"/>
    <x v="8"/>
    <x v="1"/>
    <n v="50"/>
    <s v=""/>
    <s v="Double cream"/>
    <x v="0"/>
    <x v="4"/>
    <x v="1"/>
    <s v="Pasteurized"/>
    <x v="2"/>
    <s v="Bonaparte (Le)"/>
    <x v="1"/>
    <s v="Qubec"/>
  </r>
  <r>
    <n v="1301"/>
    <s v="QC"/>
    <x v="8"/>
    <x v="1"/>
    <n v="55"/>
    <s v="Delicate and salty (varieties available: plain, herb, pepper)"/>
    <s v="Soft and creamy body, slightly acidulous"/>
    <x v="0"/>
    <x v="3"/>
    <x v="2"/>
    <s v="Pasteurized"/>
    <x v="3"/>
    <s v="Capriny"/>
    <x v="0"/>
    <s v="Qubec"/>
  </r>
  <r>
    <n v="1302"/>
    <s v="QC"/>
    <x v="8"/>
    <x v="1"/>
    <n v="50"/>
    <s v="Mild, light and delicate. Creamy and nutty taste"/>
    <s v="Triple cream"/>
    <x v="0"/>
    <x v="4"/>
    <x v="1"/>
    <s v="Pasteurized"/>
    <x v="2"/>
    <s v="Belle Crème"/>
    <x v="1"/>
    <s v="Qubec"/>
  </r>
  <r>
    <n v="1303"/>
    <s v="QC"/>
    <x v="8"/>
    <x v="1"/>
    <n v="45"/>
    <s v="Very mild flavours reminiscent of blue cheese characteristics"/>
    <s v="Blue-veined"/>
    <x v="0"/>
    <x v="2"/>
    <x v="1"/>
    <s v="Pasteurized"/>
    <x v="2"/>
    <s v="Bleubry"/>
    <x v="1"/>
    <s v="Qubec"/>
  </r>
  <r>
    <n v="1304"/>
    <s v="QC"/>
    <x v="8"/>
    <x v="1"/>
    <n v="50"/>
    <s v="Lightly salted and acidic"/>
    <s v="Ripened, white interior"/>
    <x v="0"/>
    <x v="4"/>
    <x v="2"/>
    <s v="Pasteurized"/>
    <x v="2"/>
    <s v="Chèvre D'Art"/>
    <x v="0"/>
    <s v="Qubec"/>
  </r>
  <r>
    <n v="1305"/>
    <s v="QC"/>
    <x v="8"/>
    <x v="1"/>
    <n v="55"/>
    <s v="Mild, slight goat taste available with fig and orange flavour"/>
    <s v="Smooth"/>
    <x v="0"/>
    <x v="3"/>
    <x v="3"/>
    <s v="Pasteurized"/>
    <x v="3"/>
    <s v="Chèvre des neiges"/>
    <x v="0"/>
    <s v="Qubec"/>
  </r>
  <r>
    <n v="1306"/>
    <s v="QC"/>
    <x v="8"/>
    <x v="1"/>
    <n v="50"/>
    <s v="Smooth and velvety, with age it bocomes more full-flavoured and gains a mor distinct aroma"/>
    <s v="Supple, homogeneous, creamy-yellow body"/>
    <x v="0"/>
    <x v="4"/>
    <x v="1"/>
    <s v="Pasteurized"/>
    <x v="2"/>
    <s v="Calendos (Le)"/>
    <x v="1"/>
    <s v="Qubec"/>
  </r>
  <r>
    <n v="1307"/>
    <s v="QC"/>
    <x v="8"/>
    <x v="1"/>
    <n v="45"/>
    <s v="Mild and delicate  taste becoming more pronounced with age"/>
    <s v="Natural rind"/>
    <x v="0"/>
    <x v="0"/>
    <x v="2"/>
    <s v="Pasteurized"/>
    <x v="3"/>
    <s v="Caprano"/>
    <x v="0"/>
    <s v="Qubec"/>
  </r>
  <r>
    <n v="1308"/>
    <s v="QC"/>
    <x v="8"/>
    <x v="1"/>
    <n v="50"/>
    <s v="Sharp to pronounced depending on ripening, lactic and slight hazelnut flavour"/>
    <s v=""/>
    <x v="0"/>
    <x v="3"/>
    <x v="2"/>
    <s v="Pasteurized"/>
    <x v="2"/>
    <s v="Paillot de chèvre"/>
    <x v="0"/>
    <s v="Qubec"/>
  </r>
  <r>
    <n v="1309"/>
    <s v="QC"/>
    <x v="8"/>
    <x v="1"/>
    <n v="50"/>
    <s v="Mild and  rich"/>
    <s v="Triple cream"/>
    <x v="0"/>
    <x v="4"/>
    <x v="1"/>
    <s v="Pasteurized"/>
    <x v="2"/>
    <s v="Saint-Honoré"/>
    <x v="1"/>
    <s v="Qubec"/>
  </r>
  <r>
    <n v="1310"/>
    <s v="QC"/>
    <x v="8"/>
    <x v="1"/>
    <n v="50"/>
    <s v="Taste of butter, nuts and corn"/>
    <s v="Camembert type"/>
    <x v="0"/>
    <x v="4"/>
    <x v="1"/>
    <s v="Pasteurized"/>
    <x v="2"/>
    <s v="Campagnard"/>
    <x v="1"/>
    <s v="Qubec"/>
  </r>
  <r>
    <n v="1311"/>
    <s v="QC"/>
    <x v="8"/>
    <x v="0"/>
    <n v="48"/>
    <s v="Butter, hazelnut and chestnut flavors"/>
    <s v=""/>
    <x v="0"/>
    <x v="1"/>
    <x v="2"/>
    <s v="Raw Milk"/>
    <x v="1"/>
    <s v="Tomme du Maréchal"/>
    <x v="0"/>
    <s v="Qubec"/>
  </r>
  <r>
    <n v="1312"/>
    <s v="QC"/>
    <x v="8"/>
    <x v="2"/>
    <n v="39"/>
    <s v="Hazelnut flavor"/>
    <s v="Cream-colored, blocks or curds"/>
    <x v="0"/>
    <x v="0"/>
    <x v="1"/>
    <s v="Pasteurized"/>
    <x v="3"/>
    <s v="Cheddar St-Georges"/>
    <x v="1"/>
    <s v="Qubec"/>
  </r>
  <r>
    <n v="1313"/>
    <s v="QC"/>
    <x v="8"/>
    <x v="2"/>
    <n v="43"/>
    <s v="Mild, slightly lactic and hazelnut flavour"/>
    <s v="Ivory-colored cheese, smoothand elastic texture, few holes"/>
    <x v="1"/>
    <x v="1"/>
    <x v="1"/>
    <s v="Pasteurized"/>
    <x v="3"/>
    <s v="Fontina de l'Abbaye"/>
    <x v="1"/>
    <s v="Qubec"/>
  </r>
  <r>
    <n v="1314"/>
    <s v="QC"/>
    <x v="8"/>
    <x v="2"/>
    <n v="43"/>
    <s v="Pronounced and becomes more pungent with age"/>
    <s v="When aged, its texture becomes rich and creamy."/>
    <x v="0"/>
    <x v="2"/>
    <x v="2"/>
    <s v="Pasteurized"/>
    <x v="1"/>
    <s v="Chèvre-Noît Bleu de chèvre"/>
    <x v="0"/>
    <s v="Qubec"/>
  </r>
  <r>
    <n v="1315"/>
    <s v="QC"/>
    <x v="8"/>
    <x v="2"/>
    <n v="41"/>
    <s v="Pronounced"/>
    <s v=""/>
    <x v="0"/>
    <x v="2"/>
    <x v="0"/>
    <s v="Pasteurized"/>
    <x v="1"/>
    <s v="Chanoine"/>
    <x v="1"/>
    <s v="Qubec"/>
  </r>
  <r>
    <n v="1316"/>
    <s v="QC"/>
    <x v="8"/>
    <x v="2"/>
    <n v="45"/>
    <s v="Creamy with a slight salty taste"/>
    <s v="Natural rind, surface ripened"/>
    <x v="0"/>
    <x v="2"/>
    <x v="1"/>
    <s v="Pasteurized"/>
    <x v="3"/>
    <s v="Bleu Bénédictin"/>
    <x v="0"/>
    <s v="Qubec"/>
  </r>
  <r>
    <n v="1317"/>
    <s v="QC"/>
    <x v="8"/>
    <x v="2"/>
    <n v="41"/>
    <s v="Typical taste, very agreable in the mouth, neither too mild or too pronounced"/>
    <s v="No rind, smooth and unctuous"/>
    <x v="0"/>
    <x v="0"/>
    <x v="0"/>
    <s v="Pasteurized"/>
    <x v="3"/>
    <s v="Memphré (Le)"/>
    <x v="1"/>
    <s v="Qubec"/>
  </r>
  <r>
    <n v="1318"/>
    <s v="QC"/>
    <x v="8"/>
    <x v="2"/>
    <n v="41"/>
    <s v="Strong taste typical of certain blue cheeses, with a long finish"/>
    <s v="Unpressed, uncooked cheese, interior-ripened with Penicilium roqueforti"/>
    <x v="0"/>
    <x v="2"/>
    <x v="1"/>
    <s v="Pasteurized"/>
    <x v="1"/>
    <s v="Ermite"/>
    <x v="1"/>
    <s v="Qubec"/>
  </r>
  <r>
    <n v="1319"/>
    <s v="QC"/>
    <x v="8"/>
    <x v="2"/>
    <n v="42"/>
    <s v="Mild and hazelnutty"/>
    <s v="Pressed cheese, natural rind and interior-ripened, dry texture, big eyes"/>
    <x v="0"/>
    <x v="0"/>
    <x v="1"/>
    <s v="Pasteurized"/>
    <x v="1"/>
    <s v="Frère Jacques"/>
    <x v="0"/>
    <s v="Qubec"/>
  </r>
  <r>
    <n v="1320"/>
    <s v="QC"/>
    <x v="8"/>
    <x v="2"/>
    <n v="42"/>
    <s v="Sharp, hazelnutty"/>
    <s v="Cheese with irregular holes, natural rind"/>
    <x v="0"/>
    <x v="0"/>
    <x v="1"/>
    <s v="Pasteurized"/>
    <x v="1"/>
    <s v="Moine (Le)"/>
    <x v="0"/>
    <s v="Qubec"/>
  </r>
  <r>
    <n v="1321"/>
    <s v="QC"/>
    <x v="8"/>
    <x v="2"/>
    <n v="43"/>
    <s v="Mild and hazelnut flavour"/>
    <s v="Interior ripened"/>
    <x v="0"/>
    <x v="1"/>
    <x v="1"/>
    <s v="Pasteurized"/>
    <x v="3"/>
    <s v="Mont Saint-Benoît"/>
    <x v="1"/>
    <s v="Qubec"/>
  </r>
  <r>
    <n v="1322"/>
    <s v="QC"/>
    <x v="8"/>
    <x v="2"/>
    <n v="55"/>
    <s v="Fresh, acidulous."/>
    <s v="White and damp"/>
    <x v="0"/>
    <x v="3"/>
    <x v="2"/>
    <s v="Pasteurized"/>
    <x v="3"/>
    <s v="Ricotta de chèvre"/>
    <x v="0"/>
    <s v="Qubec"/>
  </r>
  <r>
    <n v="1323"/>
    <s v="QC"/>
    <x v="8"/>
    <x v="2"/>
    <n v="65"/>
    <s v="Fresh, mild, slightly acidulous"/>
    <s v="White and damp"/>
    <x v="0"/>
    <x v="3"/>
    <x v="1"/>
    <s v="Pasteurized"/>
    <x v="3"/>
    <s v="Ricotta Saint-Benoît"/>
    <x v="0"/>
    <s v="Qubec"/>
  </r>
  <r>
    <n v="1324"/>
    <s v="QC"/>
    <x v="8"/>
    <x v="2"/>
    <n v="40"/>
    <s v="Mild and hazelnutty"/>
    <s v="Orange-colored, elastic texture"/>
    <x v="0"/>
    <x v="0"/>
    <x v="1"/>
    <s v="Pasteurized"/>
    <x v="3"/>
    <s v="Saint-Augustin (Le)"/>
    <x v="0"/>
    <s v="Qubec"/>
  </r>
  <r>
    <n v="1325"/>
    <s v="QC"/>
    <x v="8"/>
    <x v="2"/>
    <n v="43"/>
    <s v="Mild"/>
    <s v="Pressed, with irregular holes, no rind"/>
    <x v="0"/>
    <x v="0"/>
    <x v="2"/>
    <s v="Pasteurized"/>
    <x v="3"/>
    <s v="Archange (L')"/>
    <x v="0"/>
    <s v="Qubec"/>
  </r>
  <r>
    <n v="1326"/>
    <s v="QC"/>
    <x v="8"/>
    <x v="1"/>
    <n v="76"/>
    <s v="Delicate and fresh, slightly salty"/>
    <s v="Whey Ricotta"/>
    <x v="0"/>
    <x v="4"/>
    <x v="1"/>
    <s v="Pasteurized"/>
    <x v="3"/>
    <s v="Ricotta Prestigio"/>
    <x v="0"/>
    <s v="Qubec"/>
  </r>
  <r>
    <n v="1327"/>
    <s v="QC"/>
    <x v="8"/>
    <x v="1"/>
    <n v="78"/>
    <s v="Delicate and fresh, slightly salty"/>
    <s v="Whey Ricotta"/>
    <x v="0"/>
    <x v="4"/>
    <x v="1"/>
    <s v="Pasteurized"/>
    <x v="3"/>
    <s v="Ricotta Prestigio léger"/>
    <x v="0"/>
    <s v="Qubec"/>
  </r>
  <r>
    <n v="1329"/>
    <s v="QC"/>
    <x v="8"/>
    <x v="1"/>
    <n v="50"/>
    <s v="Creamy taste with a hint of mushroom"/>
    <s v="Stabilized cheese"/>
    <x v="0"/>
    <x v="4"/>
    <x v="1"/>
    <s v="Pasteurized"/>
    <x v="2"/>
    <s v="Rondoux double crème"/>
    <x v="0"/>
    <s v="Qubec"/>
  </r>
  <r>
    <n v="1330"/>
    <s v="QC"/>
    <x v="8"/>
    <x v="1"/>
    <n v="45"/>
    <s v="Creamy flavor that becomes more pronounced through ripening"/>
    <s v="Solubilized"/>
    <x v="0"/>
    <x v="4"/>
    <x v="1"/>
    <s v="Pasteurized"/>
    <x v="2"/>
    <s v="Rondoux triple crème"/>
    <x v="1"/>
    <s v="Qubec"/>
  </r>
  <r>
    <n v="1331"/>
    <s v="QC"/>
    <x v="8"/>
    <x v="1"/>
    <n v="56"/>
    <s v=""/>
    <s v="Lactic cheese"/>
    <x v="0"/>
    <x v="4"/>
    <x v="2"/>
    <s v="Pasteurized"/>
    <x v="2"/>
    <s v="Rondoux pur chèvre"/>
    <x v="0"/>
    <s v="Qubec"/>
  </r>
  <r>
    <n v="1332"/>
    <s v="QC"/>
    <x v="8"/>
    <x v="1"/>
    <n v="56"/>
    <s v="Mild"/>
    <s v="Pactic cheese"/>
    <x v="0"/>
    <x v="4"/>
    <x v="2"/>
    <s v="Pasteurized"/>
    <x v="2"/>
    <s v="Chevrita"/>
    <x v="0"/>
    <s v="Qubec"/>
  </r>
  <r>
    <n v="1333"/>
    <s v="QC"/>
    <x v="8"/>
    <x v="1"/>
    <n v="56"/>
    <s v="Mild goat flavour"/>
    <s v="Lactic cheese"/>
    <x v="0"/>
    <x v="4"/>
    <x v="2"/>
    <s v="Pasteurized"/>
    <x v="2"/>
    <s v="Extra chèvre (L')"/>
    <x v="0"/>
    <s v="Qubec"/>
  </r>
  <r>
    <n v="1334"/>
    <s v="QC"/>
    <x v="8"/>
    <x v="1"/>
    <n v="56"/>
    <s v=""/>
    <s v="Lactic cheese"/>
    <x v="0"/>
    <x v="4"/>
    <x v="2"/>
    <s v="Pasteurized"/>
    <x v="2"/>
    <s v="Doucerel"/>
    <x v="0"/>
    <s v="Qubec"/>
  </r>
  <r>
    <n v="1335"/>
    <s v="QC"/>
    <x v="8"/>
    <x v="1"/>
    <n v="50"/>
    <s v="Milk and hazelnut flavors"/>
    <s v="Stabilized"/>
    <x v="0"/>
    <x v="4"/>
    <x v="1"/>
    <s v="Pasteurized"/>
    <x v="2"/>
    <s v="Brie Chevalier double crème"/>
    <x v="0"/>
    <s v="Qubec"/>
  </r>
  <r>
    <n v="1336"/>
    <s v="QC"/>
    <x v="8"/>
    <x v="1"/>
    <n v="50"/>
    <s v="Milk and hazelnut flavors, slightly richer than a simple cream"/>
    <s v="Stabilized"/>
    <x v="0"/>
    <x v="4"/>
    <x v="1"/>
    <s v="Pasteurized"/>
    <x v="2"/>
    <s v="Brie L'Extra double crème"/>
    <x v="0"/>
    <s v="Qubec"/>
  </r>
  <r>
    <n v="1337"/>
    <s v="QC"/>
    <x v="8"/>
    <x v="1"/>
    <n v="55"/>
    <s v="Hazelnut flavor becoming more pronounced with age"/>
    <s v="Interior-ripened"/>
    <x v="0"/>
    <x v="1"/>
    <x v="1"/>
    <s v="Pasteurized"/>
    <x v="3"/>
    <s v="Havarti Danesborg léger"/>
    <x v="0"/>
    <s v="Qubec"/>
  </r>
  <r>
    <n v="1338"/>
    <s v="QC"/>
    <x v="8"/>
    <x v="1"/>
    <n v="46"/>
    <s v="Creamy with a salty hint"/>
    <s v="Pressed, interior-ripenened, covered with a layer of wax"/>
    <x v="0"/>
    <x v="1"/>
    <x v="1"/>
    <s v="Pasteurized"/>
    <x v="1"/>
    <s v="Fontina Canadien"/>
    <x v="0"/>
    <s v="Qubec"/>
  </r>
  <r>
    <n v="1339"/>
    <s v="QC"/>
    <x v="8"/>
    <x v="1"/>
    <n v="47"/>
    <s v="Mushroom and truffle woody flavor"/>
    <s v="Washed rind showing a light white duvet"/>
    <x v="0"/>
    <x v="1"/>
    <x v="1"/>
    <s v="Pasteurized"/>
    <x v="0"/>
    <s v="Oka avec champignons"/>
    <x v="0"/>
    <s v="Qubec"/>
  </r>
  <r>
    <n v="1340"/>
    <s v="QC"/>
    <x v="8"/>
    <x v="1"/>
    <n v="42"/>
    <s v="Hazelnut and butter taste"/>
    <s v=""/>
    <x v="0"/>
    <x v="0"/>
    <x v="1"/>
    <s v="Pasteurized"/>
    <x v="0"/>
    <s v="Oka l'artisan"/>
    <x v="0"/>
    <s v="Qubec"/>
  </r>
  <r>
    <n v="1341"/>
    <s v="QC"/>
    <x v="8"/>
    <x v="1"/>
    <n v="55"/>
    <s v="Slightly salty"/>
    <s v="Moist surface, interior-ripened"/>
    <x v="0"/>
    <x v="4"/>
    <x v="1"/>
    <s v="Pasteurized"/>
    <x v="3"/>
    <s v="Feta (Danesborg)"/>
    <x v="0"/>
    <s v="Qubec"/>
  </r>
  <r>
    <n v="1342"/>
    <s v="QC"/>
    <x v="8"/>
    <x v="1"/>
    <n v="57"/>
    <s v="Slightly salty"/>
    <s v="Moist surface, interior-ripened"/>
    <x v="0"/>
    <x v="4"/>
    <x v="1"/>
    <s v="Pasteurized"/>
    <x v="3"/>
    <s v="Féta léger (Danesborg)"/>
    <x v="0"/>
    <s v="Qubec"/>
  </r>
  <r>
    <n v="1343"/>
    <s v="QC"/>
    <x v="8"/>
    <x v="1"/>
    <n v="42"/>
    <s v="Slight hazelnut taste"/>
    <s v=""/>
    <x v="0"/>
    <x v="0"/>
    <x v="1"/>
    <s v="Pasteurized"/>
    <x v="0"/>
    <s v="Raclette Anco"/>
    <x v="0"/>
    <s v="Qubec"/>
  </r>
  <r>
    <n v="1344"/>
    <s v="QC"/>
    <x v="8"/>
    <x v="1"/>
    <n v="50"/>
    <s v="Fruity"/>
    <s v="Orange-copper washed rind, stabilized"/>
    <x v="0"/>
    <x v="4"/>
    <x v="1"/>
    <s v="Pasteurized"/>
    <x v="0"/>
    <s v="Champfleury (Vaudreuil)"/>
    <x v="0"/>
    <s v="Qubec"/>
  </r>
  <r>
    <n v="1345"/>
    <s v="QC"/>
    <x v="8"/>
    <x v="1"/>
    <n v="55"/>
    <s v="Salty, slightly pungent and pronounced"/>
    <s v="Slightly creamy texture, interior-ripened"/>
    <x v="0"/>
    <x v="4"/>
    <x v="1"/>
    <s v="Pasteurized"/>
    <x v="3"/>
    <s v="Feta (Anco)"/>
    <x v="0"/>
    <s v="Qubec"/>
  </r>
  <r>
    <n v="1346"/>
    <s v="QC"/>
    <x v="8"/>
    <x v="1"/>
    <n v="55"/>
    <s v="Salty, slightly pungent and pronounced"/>
    <s v="Slightly creamy"/>
    <x v="0"/>
    <x v="4"/>
    <x v="2"/>
    <s v="Pasteurized"/>
    <x v="3"/>
    <s v="Féta de chèvre (Anco)"/>
    <x v="0"/>
    <s v="Qubec"/>
  </r>
  <r>
    <n v="1347"/>
    <s v="QC"/>
    <x v="8"/>
    <x v="1"/>
    <n v="58"/>
    <s v="Milk, hazelnut and mushroom taste"/>
    <s v="Stabilized"/>
    <x v="0"/>
    <x v="4"/>
    <x v="1"/>
    <s v="Pasteurized"/>
    <x v="2"/>
    <s v="Camembert Allégro"/>
    <x v="0"/>
    <s v="Qubec"/>
  </r>
  <r>
    <n v="1348"/>
    <s v="QC"/>
    <x v="8"/>
    <x v="1"/>
    <n v="56"/>
    <s v="Milk, hazelnut and mushroom flavour"/>
    <s v="Lactic cheese"/>
    <x v="0"/>
    <x v="4"/>
    <x v="1"/>
    <s v="Pasteurized"/>
    <x v="2"/>
    <s v="Camembert Anco"/>
    <x v="0"/>
    <s v="Qubec"/>
  </r>
  <r>
    <n v="1349"/>
    <s v="QC"/>
    <x v="8"/>
    <x v="1"/>
    <n v="57"/>
    <s v="Rather neutral, mushrooms aroma"/>
    <s v="Stabilized"/>
    <x v="0"/>
    <x v="4"/>
    <x v="1"/>
    <s v="Pasteurized"/>
    <x v="2"/>
    <s v="Allégro 17%"/>
    <x v="0"/>
    <s v="Qubec"/>
  </r>
  <r>
    <n v="1350"/>
    <s v="QC"/>
    <x v="8"/>
    <x v="1"/>
    <n v="50"/>
    <s v="Milk and hazelnut flavor, slightly richer than a simple cream cheese"/>
    <s v="Stabilized"/>
    <x v="0"/>
    <x v="4"/>
    <x v="1"/>
    <s v="Pasteurized"/>
    <x v="2"/>
    <s v="Brie double crème Anco"/>
    <x v="0"/>
    <s v="Qubec"/>
  </r>
  <r>
    <n v="1351"/>
    <s v="QC"/>
    <x v="8"/>
    <x v="1"/>
    <n v="56"/>
    <s v="Milk, hazelnut and mushroom flavor"/>
    <s v=""/>
    <x v="0"/>
    <x v="4"/>
    <x v="1"/>
    <s v="Pasteurized"/>
    <x v="2"/>
    <s v="Grand Camembert l'Extra"/>
    <x v="0"/>
    <s v="Qubec"/>
  </r>
  <r>
    <n v="1352"/>
    <s v="QC"/>
    <x v="8"/>
    <x v="1"/>
    <n v="56"/>
    <s v="Milk, hazelnut and mushroom flavor"/>
    <s v="Lactic cheese"/>
    <x v="0"/>
    <x v="4"/>
    <x v="1"/>
    <s v="Pasteurized"/>
    <x v="2"/>
    <s v="Grand Camembert Vaudreuil"/>
    <x v="0"/>
    <s v="Qubec"/>
  </r>
  <r>
    <n v="1353"/>
    <s v="QC"/>
    <x v="8"/>
    <x v="1"/>
    <n v="56"/>
    <s v="Milk, hazelnut and mushroom flavor"/>
    <s v="Lactic cheese"/>
    <x v="0"/>
    <x v="4"/>
    <x v="1"/>
    <s v="Pasteurized"/>
    <x v="2"/>
    <s v="Camembert Provençal"/>
    <x v="0"/>
    <s v="Qubec"/>
  </r>
  <r>
    <n v="1354"/>
    <s v="QC"/>
    <x v="8"/>
    <x v="1"/>
    <n v="56"/>
    <s v="Mild flavour"/>
    <s v="Bloomy rind, lactic cheese"/>
    <x v="0"/>
    <x v="4"/>
    <x v="3"/>
    <s v="Pasteurized"/>
    <x v="2"/>
    <s v="Vaudreuil 50/50 mixte"/>
    <x v="0"/>
    <s v="Qubec"/>
  </r>
  <r>
    <n v="1355"/>
    <s v="QC"/>
    <x v="8"/>
    <x v="1"/>
    <n v="50"/>
    <s v="Rather neutral with a mushroom aroma"/>
    <s v=""/>
    <x v="0"/>
    <x v="4"/>
    <x v="1"/>
    <s v="Pasteurized"/>
    <x v="2"/>
    <s v="Brie double crème Provençal"/>
    <x v="0"/>
    <s v="Qubec"/>
  </r>
  <r>
    <n v="1356"/>
    <s v="QC"/>
    <x v="8"/>
    <x v="1"/>
    <n v="56"/>
    <s v="Milk, hazelnut and mushroom flavor"/>
    <s v="Lactic cheese"/>
    <x v="0"/>
    <x v="4"/>
    <x v="1"/>
    <s v="Pasteurized"/>
    <x v="2"/>
    <s v="Camembert Gourmet"/>
    <x v="0"/>
    <s v="Qubec"/>
  </r>
  <r>
    <n v="1357"/>
    <s v="QC"/>
    <x v="8"/>
    <x v="1"/>
    <n v="50"/>
    <s v="Mostly neutral and mushroom aroma"/>
    <s v="Stabilized"/>
    <x v="0"/>
    <x v="4"/>
    <x v="1"/>
    <s v="Pasteurized"/>
    <x v="2"/>
    <s v="Brie Normandie double crème"/>
    <x v="0"/>
    <s v="Qubec"/>
  </r>
  <r>
    <n v="1358"/>
    <s v="QC"/>
    <x v="8"/>
    <x v="1"/>
    <n v="50"/>
    <s v="Fruity notes enlivened by flavours of cream, butter and a hint of whey"/>
    <s v=""/>
    <x v="0"/>
    <x v="4"/>
    <x v="1"/>
    <s v="Pasteurized"/>
    <x v="0"/>
    <s v="Providence d'Oka (La)"/>
    <x v="0"/>
    <s v="Qubec"/>
  </r>
  <r>
    <n v="1360"/>
    <s v="QC"/>
    <x v="8"/>
    <x v="1"/>
    <n v="56"/>
    <s v="Milk, hazelnut and mushroom flavor"/>
    <s v="Lactic cheese"/>
    <x v="0"/>
    <x v="4"/>
    <x v="1"/>
    <s v="Pasteurized"/>
    <x v="2"/>
    <s v="Camembert Vaudreuil"/>
    <x v="0"/>
    <s v="Qubec"/>
  </r>
  <r>
    <n v="1362"/>
    <s v="QC"/>
    <x v="8"/>
    <x v="1"/>
    <n v="37"/>
    <s v="Mild, almond and cream hints"/>
    <s v="Pressed and uncooked cheese, interior ripened"/>
    <x v="0"/>
    <x v="0"/>
    <x v="1"/>
    <s v="Pasteurized"/>
    <x v="1"/>
    <s v="Gouda Anco"/>
    <x v="1"/>
    <s v="Qubec"/>
  </r>
  <r>
    <n v="1363"/>
    <s v="QC"/>
    <x v="8"/>
    <x v="1"/>
    <n v="50"/>
    <s v="Mild and delicate flavours with fairly pronounced buttery taste"/>
    <s v="Pressed rind, interior-ripened"/>
    <x v="0"/>
    <x v="1"/>
    <x v="1"/>
    <s v="Pasteurized"/>
    <x v="0"/>
    <s v="Saint-Paulin Anco"/>
    <x v="0"/>
    <s v="Qubec"/>
  </r>
  <r>
    <n v="1364"/>
    <s v="QC"/>
    <x v="8"/>
    <x v="1"/>
    <n v="54"/>
    <s v="Sharp, flavours of cream and mushrooms"/>
    <s v="Lactic cheese"/>
    <x v="0"/>
    <x v="4"/>
    <x v="1"/>
    <s v="Pasteurized"/>
    <x v="2"/>
    <s v="Brie Notre-Dame"/>
    <x v="0"/>
    <s v="Qubec"/>
  </r>
  <r>
    <n v="1365"/>
    <s v="QC"/>
    <x v="8"/>
    <x v="1"/>
    <n v="54"/>
    <s v="Velvety (varieties available: plain, herb, pepper)"/>
    <s v=""/>
    <x v="0"/>
    <x v="4"/>
    <x v="1"/>
    <s v="Pasteurized"/>
    <x v="2"/>
    <s v="Brie Chevalier"/>
    <x v="0"/>
    <s v="Qubec"/>
  </r>
  <r>
    <n v="1366"/>
    <s v="QC"/>
    <x v="8"/>
    <x v="1"/>
    <n v="45"/>
    <s v="Mild and rich"/>
    <s v=""/>
    <x v="0"/>
    <x v="4"/>
    <x v="1"/>
    <s v="Pasteurized"/>
    <x v="2"/>
    <s v="Brie Chevalier triple crème"/>
    <x v="1"/>
    <s v="Qubec"/>
  </r>
  <r>
    <n v="1367"/>
    <s v="QC"/>
    <x v="8"/>
    <x v="1"/>
    <n v="54"/>
    <s v="Rather pronounced milk and hazelnut flavors"/>
    <s v="Stabilized"/>
    <x v="0"/>
    <x v="4"/>
    <x v="1"/>
    <s v="Pasteurized"/>
    <x v="2"/>
    <s v="Brie L'Extra"/>
    <x v="0"/>
    <s v="Qubec"/>
  </r>
  <r>
    <n v="1368"/>
    <s v="QC"/>
    <x v="8"/>
    <x v="1"/>
    <n v="56"/>
    <s v="Milk, hazelnut and mushroom flavor"/>
    <s v=""/>
    <x v="0"/>
    <x v="4"/>
    <x v="1"/>
    <s v="Pasteurized"/>
    <x v="2"/>
    <s v="Camembert L'Extra"/>
    <x v="0"/>
    <s v="Qubec"/>
  </r>
  <r>
    <n v="1369"/>
    <s v="QC"/>
    <x v="8"/>
    <x v="1"/>
    <n v="52"/>
    <s v="Mild, hint of cream and mushrooms"/>
    <s v=""/>
    <x v="0"/>
    <x v="4"/>
    <x v="1"/>
    <s v="Pasteurized"/>
    <x v="2"/>
    <s v="Brie Vaudreuil"/>
    <x v="0"/>
    <s v="Qubec"/>
  </r>
  <r>
    <n v="1370"/>
    <s v="QC"/>
    <x v="8"/>
    <x v="1"/>
    <n v="50"/>
    <s v="Milky, hazelnut, slightly richer than the simple cream"/>
    <s v=""/>
    <x v="0"/>
    <x v="4"/>
    <x v="1"/>
    <s v="Pasteurized"/>
    <x v="2"/>
    <s v="Brie Vaudreuil Double Crème"/>
    <x v="1"/>
    <s v="Qubec"/>
  </r>
  <r>
    <n v="1371"/>
    <s v="QC"/>
    <x v="8"/>
    <x v="1"/>
    <n v="45"/>
    <s v="Hazelnut flavor becoming more pronounced with age"/>
    <s v=""/>
    <x v="0"/>
    <x v="1"/>
    <x v="1"/>
    <s v="Pasteurized"/>
    <x v="3"/>
    <s v="Havarti Danesborg"/>
    <x v="1"/>
    <s v="Qubec"/>
  </r>
  <r>
    <n v="1372"/>
    <s v="QC"/>
    <x v="8"/>
    <x v="1"/>
    <n v="52"/>
    <s v="Mild"/>
    <s v=""/>
    <x v="0"/>
    <x v="1"/>
    <x v="1"/>
    <s v="Pasteurized"/>
    <x v="3"/>
    <s v="Mozzarella (Prestigio)"/>
    <x v="0"/>
    <s v="Qubec"/>
  </r>
  <r>
    <n v="1373"/>
    <s v="QC"/>
    <x v="8"/>
    <x v="1"/>
    <n v="40"/>
    <s v="Mild"/>
    <s v=""/>
    <x v="0"/>
    <x v="0"/>
    <x v="1"/>
    <s v="Pasteurized"/>
    <x v="3"/>
    <s v="Suisse Grubec"/>
    <x v="0"/>
    <s v="Qubec"/>
  </r>
  <r>
    <n v="1374"/>
    <s v="QC"/>
    <x v="8"/>
    <x v="1"/>
    <n v="49"/>
    <s v="Mild"/>
    <s v=""/>
    <x v="0"/>
    <x v="0"/>
    <x v="1"/>
    <s v="Pasteurized"/>
    <x v="3"/>
    <s v="Suisse Grubec léger"/>
    <x v="0"/>
    <s v="Qubec"/>
  </r>
  <r>
    <n v="1375"/>
    <s v="QC"/>
    <x v="8"/>
    <x v="1"/>
    <n v="42"/>
    <s v="Sharp, pungent"/>
    <s v=""/>
    <x v="0"/>
    <x v="0"/>
    <x v="1"/>
    <s v="Pasteurized"/>
    <x v="0"/>
    <s v="Raclette d'Oka"/>
    <x v="0"/>
    <s v="Qubec"/>
  </r>
  <r>
    <n v="1376"/>
    <s v="QC"/>
    <x v="8"/>
    <x v="1"/>
    <n v="47"/>
    <s v="Sharp, nutty and fruity"/>
    <s v="Pressed, surface ripened"/>
    <x v="0"/>
    <x v="1"/>
    <x v="1"/>
    <s v="Pasteurized"/>
    <x v="0"/>
    <s v="Oka"/>
    <x v="0"/>
    <s v="Qubec"/>
  </r>
  <r>
    <n v="1377"/>
    <s v="QC"/>
    <x v="8"/>
    <x v="1"/>
    <n v="45"/>
    <s v="Sharp and fruity, hazelnutty"/>
    <s v="Pressed, surface-ripened"/>
    <x v="0"/>
    <x v="1"/>
    <x v="1"/>
    <s v="Thermised"/>
    <x v="1"/>
    <s v="Oka Classique"/>
    <x v="1"/>
    <s v="Qubec"/>
  </r>
  <r>
    <n v="1378"/>
    <s v="QC"/>
    <x v="8"/>
    <x v="1"/>
    <n v="50"/>
    <s v="Sharp and fruity, hazelnut flavour"/>
    <s v=""/>
    <x v="0"/>
    <x v="1"/>
    <x v="1"/>
    <s v="Pasteurized"/>
    <x v="0"/>
    <s v="Oka léger"/>
    <x v="0"/>
    <s v="Qubec"/>
  </r>
  <r>
    <n v="1379"/>
    <s v="QC"/>
    <x v="8"/>
    <x v="1"/>
    <n v="42"/>
    <s v="Light taste"/>
    <s v=""/>
    <x v="0"/>
    <x v="0"/>
    <x v="1"/>
    <s v="Pasteurized"/>
    <x v="1"/>
    <s v="Gouda extra doux (Bergeron)"/>
    <x v="1"/>
    <s v="Qubec"/>
  </r>
  <r>
    <n v="1380"/>
    <s v="QC"/>
    <x v="8"/>
    <x v="1"/>
    <n v="42"/>
    <s v=""/>
    <s v=""/>
    <x v="0"/>
    <x v="0"/>
    <x v="1"/>
    <s v="Pasteurized"/>
    <x v="1"/>
    <s v="Gouda de Saint-Antoine"/>
    <x v="0"/>
    <s v="Qubec"/>
  </r>
  <r>
    <n v="1381"/>
    <s v="QC"/>
    <x v="8"/>
    <x v="1"/>
    <n v="42"/>
    <s v="Smoky, comes in 2 flavours"/>
    <s v="Gouda-type cheese"/>
    <x v="0"/>
    <x v="0"/>
    <x v="1"/>
    <s v="Pasteurized"/>
    <x v="1"/>
    <s v="Calumet (Le)"/>
    <x v="0"/>
    <s v="Qubec"/>
  </r>
  <r>
    <n v="1382"/>
    <s v="QC"/>
    <x v="8"/>
    <x v="1"/>
    <n v="43"/>
    <s v="Fresh milky, creamy taste, very mild"/>
    <s v=""/>
    <x v="0"/>
    <x v="0"/>
    <x v="1"/>
    <s v="Pasteurized"/>
    <x v="3"/>
    <s v="Brin de gouda"/>
    <x v="0"/>
    <s v="Qubec"/>
  </r>
  <r>
    <n v="1383"/>
    <s v="QC"/>
    <x v="8"/>
    <x v="1"/>
    <n v="43"/>
    <s v="Sharp, distinct flavour of Indian spices"/>
    <s v="Pressed and not cooked cheese, interior ripened"/>
    <x v="0"/>
    <x v="0"/>
    <x v="1"/>
    <s v="Pasteurized"/>
    <x v="1"/>
    <s v="Coureur des bois (Le)"/>
    <x v="0"/>
    <s v="Qubec"/>
  </r>
  <r>
    <n v="1384"/>
    <s v="QC"/>
    <x v="8"/>
    <x v="1"/>
    <n v="43"/>
    <s v="Mild"/>
    <s v="Pressed, uncooked, interior ripened, natural rind"/>
    <x v="0"/>
    <x v="0"/>
    <x v="1"/>
    <s v="Pasteurized"/>
    <x v="1"/>
    <s v="Fin Renard (Le)"/>
    <x v="0"/>
    <s v="Qubec"/>
  </r>
  <r>
    <n v="1385"/>
    <s v="QC"/>
    <x v="8"/>
    <x v="1"/>
    <n v="43"/>
    <s v="Mild, hazelnut flavour, slightly acidulous"/>
    <s v="Smooth with small holes, no rind"/>
    <x v="0"/>
    <x v="0"/>
    <x v="1"/>
    <s v="Pasteurized"/>
    <x v="1"/>
    <s v="Bergeron Classique"/>
    <x v="0"/>
    <s v="Qubec"/>
  </r>
  <r>
    <n v="1386"/>
    <s v="QC"/>
    <x v="8"/>
    <x v="1"/>
    <n v="43"/>
    <s v="Slightly acidulous taste"/>
    <s v="Pressed, uncooked, interior-ripened cheese"/>
    <x v="0"/>
    <x v="0"/>
    <x v="1"/>
    <s v="Pasteurized"/>
    <x v="3"/>
    <s v="Populaire (Le)"/>
    <x v="1"/>
    <s v="Qubec"/>
  </r>
  <r>
    <n v="1387"/>
    <s v="QC"/>
    <x v="8"/>
    <x v="1"/>
    <n v="51"/>
    <s v="Mild and slightly acidulous"/>
    <s v="Interior ripened and covered with yellow wax"/>
    <x v="0"/>
    <x v="0"/>
    <x v="1"/>
    <s v="Pasteurized"/>
    <x v="1"/>
    <s v="Seigneur de Tilly (Le)"/>
    <x v="0"/>
    <s v="Qubec"/>
  </r>
  <r>
    <n v="1388"/>
    <s v="QC"/>
    <x v="8"/>
    <x v="1"/>
    <n v="42"/>
    <s v=""/>
    <s v="Creation of the Bergeron cheese masters. Made of whole milk, and contains no dairy substances. Slightly firmer than regular Gouda"/>
    <x v="0"/>
    <x v="0"/>
    <x v="1"/>
    <s v="Pasteurized"/>
    <x v="1"/>
    <s v="Lotbinière (Le)"/>
    <x v="0"/>
    <s v="Qubec"/>
  </r>
  <r>
    <n v="1389"/>
    <s v="QC"/>
    <x v="8"/>
    <x v="1"/>
    <n v="43"/>
    <s v="Nutty, mildly tangy flavour"/>
    <s v="Smooth cheese with a few small holes"/>
    <x v="0"/>
    <x v="0"/>
    <x v="1"/>
    <s v="Pasteurized"/>
    <x v="1"/>
    <s v="P'tit Bonheur (Le)"/>
    <x v="0"/>
    <s v="Qubec"/>
  </r>
  <r>
    <n v="1390"/>
    <s v="QC"/>
    <x v="8"/>
    <x v="1"/>
    <n v="42"/>
    <s v=""/>
    <s v="Product wrapped in black, non-edible wax. When cut, the wedges are covered with thermoformed film"/>
    <x v="0"/>
    <x v="0"/>
    <x v="2"/>
    <s v="Pasteurized"/>
    <x v="1"/>
    <s v="Patte Blanche"/>
    <x v="0"/>
    <s v="Qubec"/>
  </r>
  <r>
    <n v="1391"/>
    <s v="QC"/>
    <x v="8"/>
    <x v="1"/>
    <n v="55"/>
    <s v=""/>
    <s v="Popular 6% cheese called that because of its low fat content. Made from pasteurized partially skimmed milk. Smooth cheese with a few holes"/>
    <x v="0"/>
    <x v="0"/>
    <x v="1"/>
    <s v="Pasteurized"/>
    <x v="1"/>
    <s v="Six Pourcent 6% (Le)"/>
    <x v="0"/>
    <s v="Qubec"/>
  </r>
  <r>
    <n v="1392"/>
    <s v="QC"/>
    <x v="8"/>
    <x v="2"/>
    <n v="65"/>
    <s v="Creamy and milky"/>
    <s v="White creamy cheese"/>
    <x v="0"/>
    <x v="3"/>
    <x v="1"/>
    <s v="Pasteurized"/>
    <x v="3"/>
    <s v="Monpellier (Le)"/>
    <x v="0"/>
    <s v="Qubec"/>
  </r>
  <r>
    <n v="1393"/>
    <s v="QC"/>
    <x v="8"/>
    <x v="2"/>
    <n v="50"/>
    <s v="Mild"/>
    <s v="Creamy,"/>
    <x v="0"/>
    <x v="4"/>
    <x v="1"/>
    <s v="Pasteurized"/>
    <x v="2"/>
    <s v="Montebello (Le)"/>
    <x v="0"/>
    <s v="Qubec"/>
  </r>
  <r>
    <n v="1394"/>
    <s v="QC"/>
    <x v="8"/>
    <x v="2"/>
    <n v="45"/>
    <s v="Pronounced, well-developed, fruity with butter and hazelnut notes"/>
    <s v=""/>
    <x v="0"/>
    <x v="0"/>
    <x v="2"/>
    <s v="Raw Milk"/>
    <x v="3"/>
    <s v="Louis-Joseph Papineau"/>
    <x v="0"/>
    <s v="Qubec"/>
  </r>
  <r>
    <n v="1395"/>
    <s v="QC"/>
    <x v="8"/>
    <x v="2"/>
    <n v="65"/>
    <s v="Mild and slightly acidulous. Various flavours"/>
    <s v="Creamy"/>
    <x v="0"/>
    <x v="3"/>
    <x v="2"/>
    <s v="Pasteurized"/>
    <x v="3"/>
    <s v="Petit Vinoy (Le)"/>
    <x v="0"/>
    <s v="Qubec"/>
  </r>
  <r>
    <n v="1396"/>
    <s v="QC"/>
    <x v="8"/>
    <x v="2"/>
    <n v="50"/>
    <s v="Mild, goat flavour, slightly acidulous"/>
    <s v=""/>
    <x v="0"/>
    <x v="4"/>
    <x v="2"/>
    <s v="Pasteurized"/>
    <x v="2"/>
    <s v="Saint-Félix"/>
    <x v="0"/>
    <s v="Qubec"/>
  </r>
  <r>
    <n v="1397"/>
    <s v="QC"/>
    <x v="8"/>
    <x v="0"/>
    <n v="60"/>
    <s v="Mild mushroom and nut taste"/>
    <s v=""/>
    <x v="0"/>
    <x v="4"/>
    <x v="2"/>
    <s v="Pasteurized"/>
    <x v="2"/>
    <s v="Clé des champs"/>
    <x v="0"/>
    <s v="Qubec"/>
  </r>
  <r>
    <n v="1398"/>
    <s v="QC"/>
    <x v="8"/>
    <x v="0"/>
    <n v="69"/>
    <s v="Mild and lactic availble in plain, garlic and herbs, chives, almond, five peppercorn, cajun and in flavoured olive oil"/>
    <s v="Creamy"/>
    <x v="0"/>
    <x v="3"/>
    <x v="2"/>
    <s v="Pasteurized"/>
    <x v="3"/>
    <s v="Capri' Cieux  (Le)"/>
    <x v="0"/>
    <s v="Qubec"/>
  </r>
  <r>
    <n v="1399"/>
    <s v="QC"/>
    <x v="8"/>
    <x v="0"/>
    <n v="42"/>
    <s v="Mild to medium depending on the age"/>
    <s v="Interior-ripened"/>
    <x v="0"/>
    <x v="0"/>
    <x v="2"/>
    <s v="Raw Milk"/>
    <x v="3"/>
    <s v="Chèvratout"/>
    <x v="0"/>
    <s v="Qubec"/>
  </r>
  <r>
    <n v="1400"/>
    <s v="QC"/>
    <x v="8"/>
    <x v="0"/>
    <n v="62"/>
    <s v="Sharp, slight hazelnut hints"/>
    <s v="Rind washed with cider"/>
    <x v="0"/>
    <x v="1"/>
    <x v="2"/>
    <s v="Thermised"/>
    <x v="0"/>
    <s v="Hilairemontais (Le)"/>
    <x v="0"/>
    <s v="Qubec"/>
  </r>
  <r>
    <n v="1401"/>
    <s v="QC"/>
    <x v="8"/>
    <x v="1"/>
    <n v="42"/>
    <s v="Slightly salted, whey aftertaste"/>
    <s v="Daily fresh"/>
    <x v="0"/>
    <x v="0"/>
    <x v="1"/>
    <s v="Pasteurized"/>
    <x v="3"/>
    <s v="Cheddar Riviera en grains"/>
    <x v="0"/>
    <s v="Qubec"/>
  </r>
  <r>
    <n v="1402"/>
    <s v="QC"/>
    <x v="8"/>
    <x v="1"/>
    <n v="39"/>
    <s v="Buttery and creamy lactic flavor"/>
    <s v="Daily fresh"/>
    <x v="0"/>
    <x v="0"/>
    <x v="1"/>
    <s v="Pasteurized"/>
    <x v="3"/>
    <s v="Cheddar doux Riviera"/>
    <x v="1"/>
    <s v="Qubec"/>
  </r>
  <r>
    <n v="1403"/>
    <s v="QC"/>
    <x v="8"/>
    <x v="1"/>
    <n v="39"/>
    <s v="Lactic buttery and creamy flavor more pronounced than mild cheddar"/>
    <s v=""/>
    <x v="0"/>
    <x v="0"/>
    <x v="1"/>
    <s v="Pasteurized"/>
    <x v="3"/>
    <s v="Cheddar médium Riviera"/>
    <x v="1"/>
    <s v="Qubec"/>
  </r>
  <r>
    <n v="1404"/>
    <s v="QC"/>
    <x v="8"/>
    <x v="1"/>
    <n v="39"/>
    <s v="Rich nutty flavor with a hint of cream"/>
    <s v=""/>
    <x v="0"/>
    <x v="0"/>
    <x v="1"/>
    <s v="Pasteurized"/>
    <x v="3"/>
    <s v="Cheddar fort Riviera"/>
    <x v="1"/>
    <s v="Qubec"/>
  </r>
  <r>
    <n v="1405"/>
    <s v="QC"/>
    <x v="8"/>
    <x v="1"/>
    <n v="39"/>
    <s v="Nutty, creamy flavor, slightly salted"/>
    <s v=""/>
    <x v="0"/>
    <x v="0"/>
    <x v="1"/>
    <s v="Pasteurized"/>
    <x v="3"/>
    <s v="Cheddar extra-fort Riviera"/>
    <x v="1"/>
    <s v="Qubec"/>
  </r>
  <r>
    <n v="1406"/>
    <s v="QC"/>
    <x v="8"/>
    <x v="1"/>
    <n v="47"/>
    <s v="Sharp"/>
    <s v="Pressed cheese, strong aroma, when aged its rind goes from yellow to red"/>
    <x v="0"/>
    <x v="1"/>
    <x v="1"/>
    <s v="Pasteurized"/>
    <x v="1"/>
    <s v="Saint-Pierre de Saurel léger"/>
    <x v="0"/>
    <s v="Qubec"/>
  </r>
  <r>
    <n v="1407"/>
    <s v="QC"/>
    <x v="8"/>
    <x v="1"/>
    <n v="49"/>
    <s v="Hazelnut taste"/>
    <s v="Pressed cheese, ivory colored, pierced with holes. Swiss type cheese."/>
    <x v="0"/>
    <x v="0"/>
    <x v="1"/>
    <s v="Pasteurized"/>
    <x v="1"/>
    <s v="Chaliberg léger"/>
    <x v="0"/>
    <s v="Qubec"/>
  </r>
  <r>
    <n v="1408"/>
    <s v="QC"/>
    <x v="8"/>
    <x v="1"/>
    <n v="40"/>
    <s v="Hazelnut taste"/>
    <s v="Pressed cheese, ivory-colored, sprinkled with holes. Swiss type cheese."/>
    <x v="0"/>
    <x v="0"/>
    <x v="1"/>
    <s v="Pasteurized"/>
    <x v="1"/>
    <s v="Chaliberg"/>
    <x v="0"/>
    <s v="Qubec"/>
  </r>
  <r>
    <n v="1409"/>
    <s v="QC"/>
    <x v="8"/>
    <x v="1"/>
    <n v="50"/>
    <s v="Mild, hints of butter"/>
    <s v="Smooth texture"/>
    <x v="0"/>
    <x v="1"/>
    <x v="1"/>
    <s v="Pasteurized"/>
    <x v="3"/>
    <s v="Finbourgeois"/>
    <x v="0"/>
    <s v="Qubec"/>
  </r>
  <r>
    <n v="1410"/>
    <s v="QC"/>
    <x v="8"/>
    <x v="1"/>
    <n v="55"/>
    <s v="Mild, hints of fresh milk"/>
    <s v=""/>
    <x v="0"/>
    <x v="1"/>
    <x v="1"/>
    <s v="Pasteurized"/>
    <x v="3"/>
    <s v="Élan 7% (L')"/>
    <x v="0"/>
    <s v="Qubec"/>
  </r>
  <r>
    <n v="1411"/>
    <s v="QC"/>
    <x v="8"/>
    <x v="1"/>
    <n v="50"/>
    <s v="Sharp"/>
    <s v="Pressed cheese, strong aroma, when aged its rind goes from yellow to red"/>
    <x v="0"/>
    <x v="1"/>
    <x v="1"/>
    <s v="Pasteurized"/>
    <x v="1"/>
    <s v="Saint-Pierre de Saurel"/>
    <x v="0"/>
    <s v="Qubec"/>
  </r>
  <r>
    <n v="1412"/>
    <s v="QC"/>
    <x v="8"/>
    <x v="1"/>
    <n v="46"/>
    <s v="Slightly hazelnut and creamy taste"/>
    <s v="Dutch Edam-type cheese, smooth surface, light yellow and uniform center, supple, smooth and melting texture"/>
    <x v="0"/>
    <x v="1"/>
    <x v="1"/>
    <s v="Pasteurized"/>
    <x v="1"/>
    <s v="Vent des îles"/>
    <x v="0"/>
    <s v="Qubec"/>
  </r>
  <r>
    <n v="1413"/>
    <s v="QC"/>
    <x v="8"/>
    <x v="1"/>
    <n v="40"/>
    <s v="Slightly sweet almond flavor"/>
    <s v="Emmental type cheese, with no rind, yellow-colored, with big round holes"/>
    <x v="0"/>
    <x v="0"/>
    <x v="1"/>
    <s v="Pasteurized"/>
    <x v="3"/>
    <s v="Alpinois (L')"/>
    <x v="0"/>
    <s v="Qubec"/>
  </r>
  <r>
    <n v="1414"/>
    <s v="QC"/>
    <x v="8"/>
    <x v="0"/>
    <n v="44"/>
    <s v="Sharp"/>
    <s v="Dense cheese with washed rind. Cheese made from Ayrshire cow's milk."/>
    <x v="0"/>
    <x v="1"/>
    <x v="1"/>
    <s v="Raw Milk"/>
    <x v="0"/>
    <s v="Fêtard (Le)"/>
    <x v="1"/>
    <s v="Qubec"/>
  </r>
  <r>
    <n v="1415"/>
    <s v="QC"/>
    <x v="8"/>
    <x v="0"/>
    <n v="50"/>
    <s v="Fruitty notes with flavours of cream, butter and a hint of whey"/>
    <s v="Cheese made from Ayrshire cow's milk.."/>
    <x v="0"/>
    <x v="4"/>
    <x v="1"/>
    <s v="Raw Milk"/>
    <x v="0"/>
    <s v="Laracam"/>
    <x v="0"/>
    <s v="Qubec"/>
  </r>
  <r>
    <n v="1416"/>
    <s v="QC"/>
    <x v="8"/>
    <x v="0"/>
    <n v="48"/>
    <s v="Sharp"/>
    <s v="Washed rind. Cheese made from Ayrshire cow's milk"/>
    <x v="0"/>
    <x v="1"/>
    <x v="1"/>
    <s v="Raw Milk"/>
    <x v="0"/>
    <s v="Victor et Berthold"/>
    <x v="0"/>
    <s v="Qubec"/>
  </r>
  <r>
    <n v="1417"/>
    <s v="QC"/>
    <x v="8"/>
    <x v="1"/>
    <n v="40"/>
    <s v="Hazelnut and slightly fruity"/>
    <s v="Swiss-type cheese showing round and shiny eyes"/>
    <x v="0"/>
    <x v="0"/>
    <x v="1"/>
    <s v="Pasteurized"/>
    <x v="3"/>
    <s v="Suisse (Fromagerie Champêtre)"/>
    <x v="0"/>
    <s v="Qubec"/>
  </r>
  <r>
    <n v="1418"/>
    <s v="QC"/>
    <x v="8"/>
    <x v="1"/>
    <n v="47"/>
    <s v="Characteristic, mild and lactic to sharp. With a slight wild mushroom taste."/>
    <s v="Mixed rind washed with brine"/>
    <x v="0"/>
    <x v="1"/>
    <x v="1"/>
    <s v="Pasteurized"/>
    <x v="1"/>
    <s v="Presqu'île (Le)"/>
    <x v="0"/>
    <s v="Qubec"/>
  </r>
  <r>
    <n v="1419"/>
    <s v="QC"/>
    <x v="8"/>
    <x v="1"/>
    <n v="26"/>
    <s v="Slighty sharp with salted butter and country flavour."/>
    <s v="Pressed, smooth, soft and creamy cheese."/>
    <x v="0"/>
    <x v="1"/>
    <x v="1"/>
    <s v="Pasteurized"/>
    <x v="0"/>
    <s v="Raclette (Fromagerie Champêtre)"/>
    <x v="1"/>
    <s v="Qubec"/>
  </r>
  <r>
    <n v="1420"/>
    <s v="QC"/>
    <x v="8"/>
    <x v="1"/>
    <n v="26"/>
    <s v="Sharp with a slight nut and wild mushroom flavour"/>
    <s v="Supple, smooth and creamy"/>
    <x v="0"/>
    <x v="1"/>
    <x v="1"/>
    <s v="Pasteurized"/>
    <x v="1"/>
    <s v="Grand Chouffe (Le)"/>
    <x v="1"/>
    <s v="Qubec"/>
  </r>
  <r>
    <n v="1421"/>
    <s v="QC"/>
    <x v="8"/>
    <x v="1"/>
    <n v="41"/>
    <s v=""/>
    <s v="Made from whole milk"/>
    <x v="0"/>
    <x v="0"/>
    <x v="1"/>
    <s v="Pasteurized"/>
    <x v="3"/>
    <s v="Cheddar en grains et en bloc (Fromagerie Champêtre)"/>
    <x v="1"/>
    <s v="Qubec"/>
  </r>
  <r>
    <n v="1422"/>
    <s v="QC"/>
    <x v="8"/>
    <x v="0"/>
    <n v="52"/>
    <s v="Mild"/>
    <s v="White, delicate and crumbly cheese"/>
    <x v="0"/>
    <x v="4"/>
    <x v="2"/>
    <s v="Pasteurized"/>
    <x v="1"/>
    <s v="Salin de Gaspé (Le)"/>
    <x v="0"/>
    <s v="Qubec"/>
  </r>
  <r>
    <n v="1423"/>
    <s v="QC"/>
    <x v="8"/>
    <x v="0"/>
    <n v="68"/>
    <s v="Mild and slightly acidulous (varieties available: plain, herb, and pepper)"/>
    <s v="Creamy"/>
    <x v="0"/>
    <x v="3"/>
    <x v="2"/>
    <s v="Pasteurized"/>
    <x v="3"/>
    <s v="Chèvre de Gaspé"/>
    <x v="0"/>
    <s v="Qubec"/>
  </r>
  <r>
    <n v="1424"/>
    <s v="QC"/>
    <x v="8"/>
    <x v="0"/>
    <n v="42"/>
    <s v="Mild and fruity"/>
    <s v="Cooked and pressed, cheddar type"/>
    <x v="0"/>
    <x v="0"/>
    <x v="2"/>
    <s v="Pasteurized"/>
    <x v="3"/>
    <s v="Val-D'Espoir"/>
    <x v="0"/>
    <s v="Qubec"/>
  </r>
  <r>
    <n v="1425"/>
    <s v="QC"/>
    <x v="8"/>
    <x v="0"/>
    <n v="51"/>
    <s v="Mild, hazelnut and mushroom flavour"/>
    <s v="Melting texture in the mouth"/>
    <x v="0"/>
    <x v="4"/>
    <x v="2"/>
    <s v="Pasteurized"/>
    <x v="2"/>
    <s v="Corsaire"/>
    <x v="0"/>
    <s v="Qubec"/>
  </r>
  <r>
    <n v="1426"/>
    <s v="QC"/>
    <x v="8"/>
    <x v="1"/>
    <n v="50"/>
    <s v="Mild"/>
    <s v=""/>
    <x v="0"/>
    <x v="4"/>
    <x v="1"/>
    <s v="Pasteurized"/>
    <x v="2"/>
    <s v="Brie Mme Clément"/>
    <x v="0"/>
    <s v="Qubec"/>
  </r>
  <r>
    <n v="1427"/>
    <s v="QC"/>
    <x v="8"/>
    <x v="1"/>
    <n v="50"/>
    <s v="Mild"/>
    <s v=""/>
    <x v="0"/>
    <x v="4"/>
    <x v="1"/>
    <s v="Pasteurized"/>
    <x v="2"/>
    <s v="Brie Le Petit Champlain"/>
    <x v="0"/>
    <s v="Qubec"/>
  </r>
  <r>
    <n v="1428"/>
    <s v="QC"/>
    <x v="8"/>
    <x v="1"/>
    <n v="54"/>
    <s v="Sharp to pronounced, mushroomy and creamy"/>
    <s v=""/>
    <x v="0"/>
    <x v="4"/>
    <x v="1"/>
    <s v="Pasteurized"/>
    <x v="1"/>
    <s v="P'tit Saint-Damase léger"/>
    <x v="0"/>
    <s v="Qubec"/>
  </r>
  <r>
    <n v="1429"/>
    <s v="QC"/>
    <x v="8"/>
    <x v="1"/>
    <n v="50"/>
    <s v="Mild"/>
    <s v=""/>
    <x v="1"/>
    <x v="4"/>
    <x v="1"/>
    <s v="Pasteurized"/>
    <x v="2"/>
    <s v="Camembert BIO  (Damafro)"/>
    <x v="0"/>
    <s v="Qubec"/>
  </r>
  <r>
    <n v="1430"/>
    <s v="QC"/>
    <x v="8"/>
    <x v="1"/>
    <n v="50"/>
    <s v="Sharp to pronounced, taste of mushrooms and cream"/>
    <s v=""/>
    <x v="1"/>
    <x v="4"/>
    <x v="1"/>
    <s v="Pasteurized"/>
    <x v="2"/>
    <s v="Saint-Damase BIO"/>
    <x v="0"/>
    <s v="Qubec"/>
  </r>
  <r>
    <n v="1431"/>
    <s v="QC"/>
    <x v="8"/>
    <x v="1"/>
    <n v="43"/>
    <s v="Mild"/>
    <s v="Covered with a layer of red wax"/>
    <x v="1"/>
    <x v="1"/>
    <x v="1"/>
    <s v="Pasteurized"/>
    <x v="0"/>
    <s v="Gouda BIO (Damafro)"/>
    <x v="0"/>
    <s v="Qubec"/>
  </r>
  <r>
    <n v="1432"/>
    <s v="QC"/>
    <x v="8"/>
    <x v="1"/>
    <n v="58"/>
    <s v="Mild and acidulous"/>
    <s v="Creamy cheese"/>
    <x v="1"/>
    <x v="3"/>
    <x v="2"/>
    <s v="Pasteurized"/>
    <x v="3"/>
    <s v="Chèvre des Alpes BIO"/>
    <x v="0"/>
    <s v="Qubec"/>
  </r>
  <r>
    <n v="1433"/>
    <s v="QC"/>
    <x v="8"/>
    <x v="1"/>
    <n v="50"/>
    <s v="Mild"/>
    <s v=""/>
    <x v="0"/>
    <x v="4"/>
    <x v="1"/>
    <s v=""/>
    <x v="2"/>
    <s v="Brie Le Grand Cru"/>
    <x v="1"/>
    <s v="Qubec"/>
  </r>
  <r>
    <n v="1434"/>
    <s v="QC"/>
    <x v="8"/>
    <x v="1"/>
    <n v="50"/>
    <s v="Mild"/>
    <s v=""/>
    <x v="0"/>
    <x v="4"/>
    <x v="1"/>
    <s v=""/>
    <x v="2"/>
    <s v="Camembert Le Grand Cru"/>
    <x v="1"/>
    <s v="Qubec"/>
  </r>
  <r>
    <n v="1435"/>
    <s v="QC"/>
    <x v="8"/>
    <x v="1"/>
    <n v="50"/>
    <s v="Mild"/>
    <s v=""/>
    <x v="0"/>
    <x v="4"/>
    <x v="1"/>
    <s v="Pasteurized"/>
    <x v="2"/>
    <s v="Brie double crème (Damafro)"/>
    <x v="1"/>
    <s v="Qubec"/>
  </r>
  <r>
    <n v="1436"/>
    <s v="QC"/>
    <x v="8"/>
    <x v="1"/>
    <n v="50"/>
    <s v="Plain, cranberries, apricots and brandy, mushrooms"/>
    <s v=""/>
    <x v="0"/>
    <x v="4"/>
    <x v="1"/>
    <s v="Pasteurized"/>
    <x v="2"/>
    <s v="Brie en brioche"/>
    <x v="1"/>
    <s v="Qubec"/>
  </r>
  <r>
    <n v="1437"/>
    <s v="QC"/>
    <x v="8"/>
    <x v="1"/>
    <n v="50"/>
    <s v="Mild, cream and mushroom flavours"/>
    <s v=""/>
    <x v="0"/>
    <x v="4"/>
    <x v="1"/>
    <s v="Pasteurized"/>
    <x v="2"/>
    <s v="Brie Triple crème (Damafro)"/>
    <x v="1"/>
    <s v="Qubec"/>
  </r>
  <r>
    <n v="1438"/>
    <s v="QC"/>
    <x v="8"/>
    <x v="1"/>
    <n v="50"/>
    <s v="Mild"/>
    <s v=""/>
    <x v="0"/>
    <x v="4"/>
    <x v="1"/>
    <s v="Pasteurized"/>
    <x v="2"/>
    <s v="Brie Connaisseur (Damafro)"/>
    <x v="1"/>
    <s v="Qubec"/>
  </r>
  <r>
    <n v="1439"/>
    <s v="QC"/>
    <x v="8"/>
    <x v="1"/>
    <n v="50"/>
    <s v="Mild and goat flavour"/>
    <s v=""/>
    <x v="0"/>
    <x v="4"/>
    <x v="2"/>
    <s v="Pasteurized"/>
    <x v="2"/>
    <s v="Cabrie"/>
    <x v="0"/>
    <s v="Qubec"/>
  </r>
  <r>
    <n v="1440"/>
    <s v="QC"/>
    <x v="8"/>
    <x v="1"/>
    <n v="50"/>
    <s v="Mild and creamy"/>
    <s v=""/>
    <x v="0"/>
    <x v="4"/>
    <x v="1"/>
    <s v="Pasteurized"/>
    <x v="2"/>
    <s v="Camembert double crème (Damafro)"/>
    <x v="1"/>
    <s v="Qubec"/>
  </r>
  <r>
    <n v="1441"/>
    <s v="QC"/>
    <x v="8"/>
    <x v="1"/>
    <n v="59"/>
    <s v="Mild and slightly acidulous"/>
    <s v=""/>
    <x v="0"/>
    <x v="4"/>
    <x v="1"/>
    <s v="Pasteurized"/>
    <x v="2"/>
    <s v="Dama-12"/>
    <x v="0"/>
    <s v="Qubec"/>
  </r>
  <r>
    <n v="1442"/>
    <s v="QC"/>
    <x v="8"/>
    <x v="1"/>
    <n v="88"/>
    <s v="Fresh, lactic, acidulous"/>
    <s v="Fresh cheese"/>
    <x v="0"/>
    <x v="4"/>
    <x v="1"/>
    <s v="Pasteurized"/>
    <x v="3"/>
    <s v="Damablanc"/>
    <x v="0"/>
    <s v="Qubec"/>
  </r>
  <r>
    <n v="1443"/>
    <s v="QC"/>
    <x v="8"/>
    <x v="1"/>
    <n v="68"/>
    <s v="Plain, herbs, pepper"/>
    <s v="Creamy cheese"/>
    <x v="0"/>
    <x v="3"/>
    <x v="2"/>
    <s v="Pasteurized"/>
    <x v="3"/>
    <s v="Fromage de chèvre Tour de France"/>
    <x v="1"/>
    <s v="Qubec"/>
  </r>
  <r>
    <n v="1444"/>
    <s v="QC"/>
    <x v="8"/>
    <x v="1"/>
    <n v="50"/>
    <s v="Mild"/>
    <s v=""/>
    <x v="0"/>
    <x v="4"/>
    <x v="1"/>
    <s v="Pasteurized"/>
    <x v="2"/>
    <s v="Brie Petit Connaisseur"/>
    <x v="0"/>
    <s v="Qubec"/>
  </r>
  <r>
    <n v="1445"/>
    <s v="QC"/>
    <x v="8"/>
    <x v="1"/>
    <n v="50"/>
    <s v="Mild"/>
    <s v=""/>
    <x v="0"/>
    <x v="4"/>
    <x v="1"/>
    <s v="Pasteurized"/>
    <x v="2"/>
    <s v="Mini-Brie"/>
    <x v="0"/>
    <s v="Qubec"/>
  </r>
  <r>
    <n v="1446"/>
    <s v="QC"/>
    <x v="8"/>
    <x v="1"/>
    <n v="68"/>
    <s v="Mild, slightly acidulous, available: plain, Fine Herbs or Pepper"/>
    <s v=""/>
    <x v="0"/>
    <x v="3"/>
    <x v="2"/>
    <s v="Pasteurized"/>
    <x v="3"/>
    <s v="Chèvre des Alpes"/>
    <x v="0"/>
    <s v="Qubec"/>
  </r>
  <r>
    <n v="1447"/>
    <s v="QC"/>
    <x v="8"/>
    <x v="1"/>
    <n v="52"/>
    <s v="Mild"/>
    <s v="Creamy"/>
    <x v="0"/>
    <x v="4"/>
    <x v="2"/>
    <s v="Pasteurized"/>
    <x v="2"/>
    <s v="Bûchette (La)"/>
    <x v="0"/>
    <s v="Qubec"/>
  </r>
  <r>
    <n v="1448"/>
    <s v="QC"/>
    <x v="8"/>
    <x v="1"/>
    <n v="48"/>
    <s v="Mild"/>
    <s v="Orange rind"/>
    <x v="0"/>
    <x v="1"/>
    <x v="1"/>
    <s v="Pasteurized"/>
    <x v="0"/>
    <s v="Aura"/>
    <x v="0"/>
    <s v="Qubec"/>
  </r>
  <r>
    <n v="1449"/>
    <s v="QC"/>
    <x v="8"/>
    <x v="1"/>
    <n v="43"/>
    <s v="Mild"/>
    <s v="Covered in orange wax"/>
    <x v="0"/>
    <x v="1"/>
    <x v="1"/>
    <s v="Pasteurized"/>
    <x v="0"/>
    <s v="Saint-Paulin (Damafro)"/>
    <x v="0"/>
    <s v="Qubec"/>
  </r>
  <r>
    <n v="1450"/>
    <s v="QC"/>
    <x v="8"/>
    <x v="1"/>
    <n v="43"/>
    <s v="Sharp, lactic and goat flavour"/>
    <s v="Cheese covered with red wax"/>
    <x v="0"/>
    <x v="1"/>
    <x v="2"/>
    <s v="Pasteurized"/>
    <x v="0"/>
    <s v="Gouda de chèvre (Damafro)"/>
    <x v="0"/>
    <s v="Qubec"/>
  </r>
  <r>
    <n v="1451"/>
    <s v="QC"/>
    <x v="8"/>
    <x v="1"/>
    <n v="50"/>
    <s v="Mild, slight mushroom aroma"/>
    <s v="Uncooked"/>
    <x v="0"/>
    <x v="4"/>
    <x v="1"/>
    <s v="Pasteurized"/>
    <x v="1"/>
    <s v="Grand Délice"/>
    <x v="0"/>
    <s v="Qubec"/>
  </r>
  <r>
    <n v="1452"/>
    <s v="QC"/>
    <x v="8"/>
    <x v="1"/>
    <n v="46"/>
    <s v="Nutty"/>
    <s v="Pressed surface-ripened washed-rind cheese"/>
    <x v="0"/>
    <x v="1"/>
    <x v="1"/>
    <s v="Pasteurized"/>
    <x v="0"/>
    <s v="Raclette (Damafro)"/>
    <x v="0"/>
    <s v="Qubec"/>
  </r>
  <r>
    <n v="1453"/>
    <s v="QC"/>
    <x v="8"/>
    <x v="1"/>
    <n v="50"/>
    <s v="Sharp to pronounced, taste of mushrooms and cream"/>
    <s v="Neither pressed nor cooked, surface-ripened, washed and bloomy rind cheese"/>
    <x v="0"/>
    <x v="4"/>
    <x v="1"/>
    <s v="Pasteurized"/>
    <x v="1"/>
    <s v="Saint-Damase"/>
    <x v="0"/>
    <s v="Qubec"/>
  </r>
  <r>
    <n v="1454"/>
    <s v="QC"/>
    <x v="8"/>
    <x v="1"/>
    <n v="50"/>
    <s v="Mild"/>
    <s v=""/>
    <x v="0"/>
    <x v="4"/>
    <x v="1"/>
    <s v="Pasteurized"/>
    <x v="2"/>
    <s v="Camembert (Damafro)"/>
    <x v="0"/>
    <s v="Qubec"/>
  </r>
  <r>
    <n v="1455"/>
    <s v="QC"/>
    <x v="8"/>
    <x v="1"/>
    <n v="50"/>
    <s v="Mild"/>
    <s v=""/>
    <x v="0"/>
    <x v="4"/>
    <x v="1"/>
    <s v="Pasteurized"/>
    <x v="2"/>
    <s v="Brie (Damafro)"/>
    <x v="0"/>
    <s v="Qubec"/>
  </r>
  <r>
    <n v="1456"/>
    <s v="QC"/>
    <x v="8"/>
    <x v="1"/>
    <n v="50"/>
    <s v="Mild, hint of cream and mushrooms"/>
    <s v=""/>
    <x v="0"/>
    <x v="4"/>
    <x v="1"/>
    <s v="Pasteurized"/>
    <x v="2"/>
    <s v="Brie Tour de France (Damafro)"/>
    <x v="1"/>
    <s v="Qubec"/>
  </r>
  <r>
    <n v="1457"/>
    <s v="QC"/>
    <x v="8"/>
    <x v="1"/>
    <n v="50"/>
    <s v="Mild"/>
    <s v=""/>
    <x v="0"/>
    <x v="4"/>
    <x v="1"/>
    <s v="Pasteurized"/>
    <x v="2"/>
    <s v="Camembert Connaisseur"/>
    <x v="1"/>
    <s v="Qubec"/>
  </r>
  <r>
    <n v="1458"/>
    <s v="QC"/>
    <x v="8"/>
    <x v="1"/>
    <n v="50"/>
    <s v="Mild"/>
    <s v=""/>
    <x v="0"/>
    <x v="4"/>
    <x v="1"/>
    <s v="Pasteurized"/>
    <x v="2"/>
    <s v="Camembert Mme Clément"/>
    <x v="0"/>
    <s v="Qubec"/>
  </r>
  <r>
    <n v="1459"/>
    <s v="QC"/>
    <x v="8"/>
    <x v="1"/>
    <n v="43"/>
    <s v="Mild"/>
    <s v="Cheese covered with red wax"/>
    <x v="0"/>
    <x v="1"/>
    <x v="1"/>
    <s v="Pasteurized"/>
    <x v="1"/>
    <s v="Gouda (Damafro)"/>
    <x v="0"/>
    <s v="Qubec"/>
  </r>
  <r>
    <n v="1460"/>
    <s v="QC"/>
    <x v="8"/>
    <x v="1"/>
    <n v="50"/>
    <s v="Mild and goaty"/>
    <s v=""/>
    <x v="0"/>
    <x v="1"/>
    <x v="2"/>
    <s v="Pasteurized"/>
    <x v="0"/>
    <s v="Tomme de chèvre (Damafro)"/>
    <x v="0"/>
    <s v="Qubec"/>
  </r>
  <r>
    <n v="1461"/>
    <s v="QC"/>
    <x v="8"/>
    <x v="1"/>
    <n v="56"/>
    <s v="Available: Fine Herbs and Pepper"/>
    <s v="Creamy"/>
    <x v="0"/>
    <x v="3"/>
    <x v="1"/>
    <s v="Pasteurized"/>
    <x v="3"/>
    <s v="Grand Duc (Le)"/>
    <x v="0"/>
    <s v="Qubec"/>
  </r>
  <r>
    <n v="1462"/>
    <s v="QC"/>
    <x v="8"/>
    <x v="1"/>
    <n v="68"/>
    <s v="Available: Plain Goat  Cheese, Goat  Cheese with Pepper, Goat  Cheese with Fine Herbs"/>
    <s v="Spreadable cheese"/>
    <x v="0"/>
    <x v="4"/>
    <x v="2"/>
    <s v=""/>
    <x v="1"/>
    <s v="Chèvre Le Grand Cru"/>
    <x v="0"/>
    <s v="Qubec"/>
  </r>
  <r>
    <n v="1463"/>
    <s v="QC"/>
    <x v="8"/>
    <x v="1"/>
    <n v="74"/>
    <s v=""/>
    <s v="Fresh cheese"/>
    <x v="0"/>
    <x v="4"/>
    <x v="1"/>
    <s v="Pasteurized"/>
    <x v="3"/>
    <s v="Ricotta (Damafro)"/>
    <x v="0"/>
    <s v="Qubec"/>
  </r>
  <r>
    <n v="1464"/>
    <s v="QC"/>
    <x v="8"/>
    <x v="1"/>
    <n v="60"/>
    <s v=""/>
    <s v="Fresh Cheese"/>
    <x v="0"/>
    <x v="4"/>
    <x v="1"/>
    <s v="Pasteurized"/>
    <x v="3"/>
    <s v="Mascarpone (Damafro)"/>
    <x v="0"/>
    <s v="Qubec"/>
  </r>
  <r>
    <n v="1465"/>
    <s v="QC"/>
    <x v="8"/>
    <x v="2"/>
    <n v="55"/>
    <s v="Slightly woody"/>
    <s v=""/>
    <x v="0"/>
    <x v="4"/>
    <x v="1"/>
    <s v="Pasteurized"/>
    <x v="0"/>
    <s v="Vacherin de Châteauguay"/>
    <x v="0"/>
    <s v="Qubec"/>
  </r>
  <r>
    <n v="1466"/>
    <s v="QC"/>
    <x v="8"/>
    <x v="2"/>
    <n v="50"/>
    <s v="Flavours of hazelnut, butter and apples"/>
    <s v="Washed rind with cider"/>
    <x v="0"/>
    <x v="1"/>
    <x v="1"/>
    <s v="Pasteurized"/>
    <x v="0"/>
    <s v="Tomme du Manoir affinée au cidre de pomme"/>
    <x v="0"/>
    <s v="Qubec"/>
  </r>
  <r>
    <n v="1467"/>
    <s v="QC"/>
    <x v="8"/>
    <x v="2"/>
    <n v="54"/>
    <s v="Smoked salmon"/>
    <s v="Smooth rind covered with dill"/>
    <x v="0"/>
    <x v="4"/>
    <x v="1"/>
    <s v="Pasteurized"/>
    <x v="2"/>
    <s v="SOMO Brie au saumon fumé"/>
    <x v="0"/>
    <s v="Qubec"/>
  </r>
  <r>
    <n v="1468"/>
    <s v="QC"/>
    <x v="8"/>
    <x v="2"/>
    <n v="50"/>
    <s v="Mild"/>
    <s v=""/>
    <x v="0"/>
    <x v="1"/>
    <x v="1"/>
    <s v="Pasteurized"/>
    <x v="0"/>
    <s v="Sorcier de Missisquoi (Le)"/>
    <x v="0"/>
    <s v="Qubec"/>
  </r>
  <r>
    <n v="1469"/>
    <s v="QC"/>
    <x v="8"/>
    <x v="2"/>
    <n v="55"/>
    <s v="Pronounced with a hazelnut woody flavour"/>
    <s v=""/>
    <x v="0"/>
    <x v="4"/>
    <x v="1"/>
    <s v="Pasteurized"/>
    <x v="0"/>
    <s v="Feuille d'automne"/>
    <x v="0"/>
    <s v="Qubec"/>
  </r>
  <r>
    <n v="1470"/>
    <s v="QC"/>
    <x v="8"/>
    <x v="2"/>
    <n v="45"/>
    <s v="Woodsy flavours, toasted hazelnut notes"/>
    <s v="Pressed, moist washed-rind cheese"/>
    <x v="0"/>
    <x v="1"/>
    <x v="1"/>
    <s v="Pasteurized"/>
    <x v="0"/>
    <s v="Peau Rouge"/>
    <x v="0"/>
    <s v="Qubec"/>
  </r>
  <r>
    <n v="1471"/>
    <s v="QC"/>
    <x v="8"/>
    <x v="2"/>
    <n v="48"/>
    <s v=""/>
    <s v="Pressed, surface-ripened, washed-rind cheese"/>
    <x v="0"/>
    <x v="0"/>
    <x v="1"/>
    <s v="Pasteurized"/>
    <x v="0"/>
    <s v="Raclette affinée au cidre de pommes (Les Dépendances du Manoir)"/>
    <x v="0"/>
    <s v="Qubec"/>
  </r>
  <r>
    <n v="1472"/>
    <s v="QC"/>
    <x v="8"/>
    <x v="2"/>
    <n v="55"/>
    <s v="Sharp to pronounced, fruity with apple and toasted hazelnut flavours"/>
    <s v=""/>
    <x v="0"/>
    <x v="4"/>
    <x v="1"/>
    <s v="Pasteurized"/>
    <x v="0"/>
    <s v="Rougette de Brigham"/>
    <x v="0"/>
    <s v="Qubec"/>
  </r>
  <r>
    <n v="1473"/>
    <s v="QC"/>
    <x v="8"/>
    <x v="2"/>
    <n v="52"/>
    <s v="Sweetened with apple flavour"/>
    <s v="Filled with caramelised apple"/>
    <x v="0"/>
    <x v="3"/>
    <x v="3"/>
    <s v="Pasteurized"/>
    <x v="1"/>
    <s v="Tarapatapom"/>
    <x v="1"/>
    <s v="Qubec"/>
  </r>
  <r>
    <n v="1474"/>
    <s v="QC"/>
    <x v="8"/>
    <x v="0"/>
    <n v="50"/>
    <s v="Fairly full-flavoured, with a smooth and creamy finish"/>
    <s v=""/>
    <x v="0"/>
    <x v="1"/>
    <x v="1"/>
    <s v="Pasteurized"/>
    <x v="1"/>
    <s v="Louis Dubois"/>
    <x v="1"/>
    <s v="Qubec"/>
  </r>
  <r>
    <n v="1475"/>
    <s v="QC"/>
    <x v="8"/>
    <x v="0"/>
    <n v="46"/>
    <s v="Sharp"/>
    <s v="Smooth, washed rind"/>
    <x v="0"/>
    <x v="1"/>
    <x v="1"/>
    <s v="Pasteurized"/>
    <x v="0"/>
    <s v="Raclette des Appalaches"/>
    <x v="0"/>
    <s v="Qubec"/>
  </r>
  <r>
    <n v="1476"/>
    <s v="QC"/>
    <x v="8"/>
    <x v="0"/>
    <n v="50"/>
    <s v="Sharp and hazelnutty, becoming fruitier with age"/>
    <s v="Pressed surface-ripened and washed-rind cheese, ivory coloured interior with an orange tone,  natural rind"/>
    <x v="0"/>
    <x v="1"/>
    <x v="1"/>
    <s v="Pasteurized"/>
    <x v="1"/>
    <s v="Mamirolle (Le)"/>
    <x v="0"/>
    <s v="Qubec"/>
  </r>
  <r>
    <n v="1477"/>
    <s v="QC"/>
    <x v="8"/>
    <x v="0"/>
    <n v="50"/>
    <s v="Sharp"/>
    <s v="Pressed surface-ripened"/>
    <x v="0"/>
    <x v="1"/>
    <x v="1"/>
    <s v="Pasteurized"/>
    <x v="0"/>
    <s v="Délice des Appalaches"/>
    <x v="1"/>
    <s v="Qubec"/>
  </r>
  <r>
    <n v="1478"/>
    <s v="QC"/>
    <x v="8"/>
    <x v="2"/>
    <n v="50"/>
    <s v="Mild"/>
    <s v="Bloomy rind, Camembert type"/>
    <x v="0"/>
    <x v="4"/>
    <x v="1"/>
    <s v="Thermised"/>
    <x v="2"/>
    <s v="Casimir (Le)"/>
    <x v="0"/>
    <s v="Qubec"/>
  </r>
  <r>
    <n v="1479"/>
    <s v="QC"/>
    <x v="8"/>
    <x v="2"/>
    <n v="50"/>
    <s v="Pronounced"/>
    <s v="Creamy"/>
    <x v="0"/>
    <x v="4"/>
    <x v="1"/>
    <s v="Thermised"/>
    <x v="0"/>
    <s v="Diable aux Vaches (Le)"/>
    <x v="0"/>
    <s v="Qubec"/>
  </r>
  <r>
    <n v="1480"/>
    <s v="QC"/>
    <x v="8"/>
    <x v="2"/>
    <n v="44"/>
    <s v="Mild, Lactic, fungus flavour"/>
    <s v=""/>
    <x v="0"/>
    <x v="1"/>
    <x v="1"/>
    <s v="Thermised"/>
    <x v="2"/>
    <s v="Sieur Corbeau des Laurentides"/>
    <x v="0"/>
    <s v="Qubec"/>
  </r>
  <r>
    <n v="1481"/>
    <s v="QC"/>
    <x v="8"/>
    <x v="2"/>
    <n v="50"/>
    <s v="Subtle flavour of hazelnuts and reminiscent of maple syrup"/>
    <s v=""/>
    <x v="0"/>
    <x v="4"/>
    <x v="1"/>
    <s v="Thermised"/>
    <x v="0"/>
    <s v="Cru des Érables (Le)"/>
    <x v="0"/>
    <s v="Qubec"/>
  </r>
  <r>
    <n v="1482"/>
    <s v="QC"/>
    <x v="8"/>
    <x v="2"/>
    <n v="55"/>
    <s v="Plain or seasoned with chives, fine herbs or tomato and basil"/>
    <s v="Vacuum-packed or stored in a brine"/>
    <x v="0"/>
    <x v="1"/>
    <x v="2"/>
    <s v="Pasteurized"/>
    <x v="3"/>
    <s v="Feta Floralpe"/>
    <x v="0"/>
    <s v="Qubec"/>
  </r>
  <r>
    <n v="1483"/>
    <s v="QC"/>
    <x v="8"/>
    <x v="2"/>
    <n v="39"/>
    <s v="Sharp"/>
    <s v="Cooked cheese"/>
    <x v="0"/>
    <x v="5"/>
    <x v="0"/>
    <s v="Pasteurized"/>
    <x v="1"/>
    <s v="Brebiouais"/>
    <x v="0"/>
    <s v="Qubec"/>
  </r>
  <r>
    <n v="1484"/>
    <s v="QC"/>
    <x v="8"/>
    <x v="2"/>
    <n v="60"/>
    <s v="Slightly pungent and acid"/>
    <s v="Mild to sharp aroma with a hint of its soil"/>
    <x v="0"/>
    <x v="4"/>
    <x v="2"/>
    <s v="Pasteurized"/>
    <x v="2"/>
    <s v="Buchevrette"/>
    <x v="0"/>
    <s v="Qubec"/>
  </r>
  <r>
    <n v="1485"/>
    <s v="QC"/>
    <x v="8"/>
    <x v="2"/>
    <n v="60"/>
    <s v="Sharp, lactic, goat flavour, slightly acid"/>
    <s v="Smooth and creamy with a bloomy rind"/>
    <x v="0"/>
    <x v="4"/>
    <x v="2"/>
    <s v="Pasteurized"/>
    <x v="2"/>
    <s v="Heidi"/>
    <x v="0"/>
    <s v="Qubec"/>
  </r>
  <r>
    <n v="1486"/>
    <s v="QC"/>
    <x v="8"/>
    <x v="2"/>
    <n v="60"/>
    <s v="Mild and acidulous, seasoned with fine herbs and garlic"/>
    <s v="Creamy cheese, relatively dried and crumbly texture"/>
    <x v="0"/>
    <x v="3"/>
    <x v="2"/>
    <s v="Pasteurized"/>
    <x v="3"/>
    <s v="Micha"/>
    <x v="0"/>
    <s v="Qubec"/>
  </r>
  <r>
    <n v="1487"/>
    <s v="QC"/>
    <x v="8"/>
    <x v="2"/>
    <n v="42"/>
    <s v="Mild"/>
    <s v="Cheese made with a cheddarization process"/>
    <x v="0"/>
    <x v="0"/>
    <x v="2"/>
    <s v="Pasteurized"/>
    <x v="3"/>
    <s v="Montagnard (Le)"/>
    <x v="0"/>
    <s v="Qubec"/>
  </r>
  <r>
    <n v="1488"/>
    <s v="QC"/>
    <x v="8"/>
    <x v="2"/>
    <n v="55"/>
    <s v="Sharp and goat flavour"/>
    <s v="Washed rind, Muenster type"/>
    <x v="0"/>
    <x v="4"/>
    <x v="2"/>
    <s v="Pasteurized"/>
    <x v="0"/>
    <s v="Peter"/>
    <x v="0"/>
    <s v="Qubec"/>
  </r>
  <r>
    <n v="1489"/>
    <s v="QC"/>
    <x v="8"/>
    <x v="2"/>
    <n v="50"/>
    <s v="Butter and hazelnut taste"/>
    <s v="Mixed whity rind, melting texture in its centre"/>
    <x v="0"/>
    <x v="4"/>
    <x v="1"/>
    <s v="Pasteurized"/>
    <x v="1"/>
    <s v="Roubine de Noyan"/>
    <x v="0"/>
    <s v="Qubec"/>
  </r>
  <r>
    <n v="1490"/>
    <s v="QC"/>
    <x v="8"/>
    <x v="2"/>
    <n v="50"/>
    <s v="Buttery taste"/>
    <s v="Camembert type cheese"/>
    <x v="0"/>
    <x v="4"/>
    <x v="3"/>
    <s v="Pasteurized"/>
    <x v="2"/>
    <s v="Soeur Angèle (La)"/>
    <x v="0"/>
    <s v="Qubec"/>
  </r>
  <r>
    <n v="1491"/>
    <s v="QC"/>
    <x v="8"/>
    <x v="2"/>
    <n v="50"/>
    <s v="Mild, lactic"/>
    <s v="Pressed, uncooked, interior-ripened cheese"/>
    <x v="0"/>
    <x v="1"/>
    <x v="1"/>
    <s v="Pasteurized"/>
    <x v="1"/>
    <s v="Saint-Paulin Fritz léger"/>
    <x v="0"/>
    <s v="Qubec"/>
  </r>
  <r>
    <n v="1492"/>
    <s v="QC"/>
    <x v="8"/>
    <x v="2"/>
    <n v="47.06"/>
    <s v="Sharp, slight hazelnut flavour"/>
    <s v=""/>
    <x v="0"/>
    <x v="4"/>
    <x v="1"/>
    <s v="Pasteurized"/>
    <x v="0"/>
    <s v="Empereur léger"/>
    <x v="0"/>
    <s v="Qubec"/>
  </r>
  <r>
    <n v="1493"/>
    <s v="QC"/>
    <x v="8"/>
    <x v="2"/>
    <n v="48"/>
    <s v="Sharp and fruity"/>
    <s v="Pressed, surface ripened"/>
    <x v="0"/>
    <x v="1"/>
    <x v="1"/>
    <s v="Pasteurized"/>
    <x v="0"/>
    <s v="Raclette Fritz Médium"/>
    <x v="0"/>
    <s v="Qubec"/>
  </r>
  <r>
    <n v="1494"/>
    <s v="QC"/>
    <x v="8"/>
    <x v="2"/>
    <n v="48"/>
    <s v="Sharp, peppery and fruity"/>
    <s v="Pressed, surface ripened"/>
    <x v="0"/>
    <x v="1"/>
    <x v="1"/>
    <s v="Pasteurized"/>
    <x v="0"/>
    <s v="Raclette Fritz Poivre"/>
    <x v="0"/>
    <s v="Qubec"/>
  </r>
  <r>
    <n v="1495"/>
    <s v="QC"/>
    <x v="8"/>
    <x v="2"/>
    <n v="48"/>
    <s v="Very sharp, fruity"/>
    <s v="Pressed, surface ripened"/>
    <x v="0"/>
    <x v="1"/>
    <x v="1"/>
    <s v="Pasteurized"/>
    <x v="0"/>
    <s v="Raclette Fritz Fort"/>
    <x v="0"/>
    <s v="Qubec"/>
  </r>
  <r>
    <n v="1496"/>
    <s v="QC"/>
    <x v="8"/>
    <x v="2"/>
    <n v="50"/>
    <s v="Pronounced"/>
    <s v=""/>
    <x v="0"/>
    <x v="4"/>
    <x v="2"/>
    <s v="Pasteurized"/>
    <x v="0"/>
    <s v="Chevrochon"/>
    <x v="0"/>
    <s v="Qubec"/>
  </r>
  <r>
    <n v="1497"/>
    <s v="QC"/>
    <x v="8"/>
    <x v="2"/>
    <n v="48"/>
    <s v="Fairly pronounced fruity flavours"/>
    <s v="Surface ripened"/>
    <x v="0"/>
    <x v="1"/>
    <x v="1"/>
    <s v="Pasteurized"/>
    <x v="0"/>
    <s v="Douanier (Le)"/>
    <x v="0"/>
    <s v="Qubec"/>
  </r>
  <r>
    <n v="1498"/>
    <s v="QC"/>
    <x v="8"/>
    <x v="2"/>
    <n v="50"/>
    <s v="Fruity, nutty taste accentuated by the aroma of St-Ambroise beer"/>
    <s v="Surface-ripened cheese, washed rind"/>
    <x v="0"/>
    <x v="1"/>
    <x v="1"/>
    <s v="Pasteurized"/>
    <x v="0"/>
    <s v="Clos Saint-Ambroise"/>
    <x v="0"/>
    <s v="Qubec"/>
  </r>
  <r>
    <n v="1499"/>
    <s v="QC"/>
    <x v="8"/>
    <x v="2"/>
    <n v="50"/>
    <s v="Mild, lactic, slightly acidulated, flavoured with five peppercorns, garlic, herbs or parsley"/>
    <s v=""/>
    <x v="0"/>
    <x v="1"/>
    <x v="1"/>
    <s v="Pasteurized"/>
    <x v="1"/>
    <s v="Cristalia"/>
    <x v="0"/>
    <s v="Qubec"/>
  </r>
  <r>
    <n v="1500"/>
    <s v="QC"/>
    <x v="8"/>
    <x v="2"/>
    <n v="50"/>
    <s v="Sharp, slight hazelnut flavour"/>
    <s v=""/>
    <x v="0"/>
    <x v="4"/>
    <x v="1"/>
    <s v="Pasteurized"/>
    <x v="0"/>
    <s v="Empereur"/>
    <x v="0"/>
    <s v="Qubec"/>
  </r>
  <r>
    <n v="1501"/>
    <s v="QC"/>
    <x v="8"/>
    <x v="2"/>
    <n v="40"/>
    <s v="Sharp, fruity flavour with notes of apples and nuts"/>
    <s v="Pressed, cooked, surface- and interior-ripened, washed-rind cheese"/>
    <x v="0"/>
    <x v="0"/>
    <x v="1"/>
    <s v="Pasteurized"/>
    <x v="0"/>
    <s v="Miranda"/>
    <x v="0"/>
    <s v="Qubec"/>
  </r>
  <r>
    <n v="1502"/>
    <s v="QC"/>
    <x v="8"/>
    <x v="2"/>
    <n v="48"/>
    <s v="Mild, lactic"/>
    <s v="Covered with a black wax."/>
    <x v="0"/>
    <x v="1"/>
    <x v="1"/>
    <s v="Pasteurized"/>
    <x v="1"/>
    <s v="Mouton noir"/>
    <x v="0"/>
    <s v="Qubec"/>
  </r>
  <r>
    <n v="1503"/>
    <s v="QC"/>
    <x v="8"/>
    <x v="2"/>
    <n v="50"/>
    <s v="Mild, creamy flavour with hints of hazelnut"/>
    <s v="Pressed, surface-ripened"/>
    <x v="0"/>
    <x v="1"/>
    <x v="1"/>
    <s v="Pasteurized"/>
    <x v="0"/>
    <s v="Noyan"/>
    <x v="0"/>
    <s v="Qubec"/>
  </r>
  <r>
    <n v="1504"/>
    <s v="QC"/>
    <x v="8"/>
    <x v="2"/>
    <n v="50"/>
    <s v="Mild"/>
    <s v=""/>
    <x v="0"/>
    <x v="1"/>
    <x v="1"/>
    <s v="Pasteurized"/>
    <x v="3"/>
    <s v="Port-Royal"/>
    <x v="0"/>
    <s v="Qubec"/>
  </r>
  <r>
    <n v="1505"/>
    <s v="QC"/>
    <x v="8"/>
    <x v="2"/>
    <n v="48"/>
    <s v="Sharp and fruity"/>
    <s v="Pressed, surface ripened"/>
    <x v="0"/>
    <x v="1"/>
    <x v="1"/>
    <s v="Pasteurized"/>
    <x v="0"/>
    <s v="Raclette Fritz"/>
    <x v="0"/>
    <s v="Qubec"/>
  </r>
  <r>
    <n v="1506"/>
    <s v="QC"/>
    <x v="8"/>
    <x v="2"/>
    <n v="48"/>
    <s v="Sharp, hazelnutty"/>
    <s v="Pressed, surface-ripened"/>
    <x v="0"/>
    <x v="1"/>
    <x v="1"/>
    <s v="Pasteurized"/>
    <x v="0"/>
    <s v="Raclette Griffon"/>
    <x v="0"/>
    <s v="Qubec"/>
  </r>
  <r>
    <n v="1507"/>
    <s v="QC"/>
    <x v="8"/>
    <x v="2"/>
    <n v="50"/>
    <s v="Mild, Lacitc"/>
    <s v="Pressed, uncooked, interior-ripened cheese"/>
    <x v="0"/>
    <x v="1"/>
    <x v="1"/>
    <s v="Pasteurized"/>
    <x v="1"/>
    <s v="Saint-Paulin Fritz"/>
    <x v="0"/>
    <s v="Qubec"/>
  </r>
  <r>
    <n v="1508"/>
    <s v="QC"/>
    <x v="8"/>
    <x v="2"/>
    <n v="44"/>
    <s v="Sharp, lactic and fruity, slightly woodsy"/>
    <s v="Pressed, surface and interior-ripened cheese, washed rind"/>
    <x v="0"/>
    <x v="1"/>
    <x v="1"/>
    <s v="Pasteurized"/>
    <x v="0"/>
    <s v="Vacherin Fritz Kaiser"/>
    <x v="0"/>
    <s v="Qubec"/>
  </r>
  <r>
    <n v="1509"/>
    <s v="QC"/>
    <x v="8"/>
    <x v="2"/>
    <n v="47"/>
    <s v="Sharp and slightly woodsy"/>
    <s v="Moist, washed rind"/>
    <x v="0"/>
    <x v="1"/>
    <x v="1"/>
    <s v="Raw Milk"/>
    <x v="0"/>
    <s v="Zurigo"/>
    <x v="0"/>
    <s v="Qubec"/>
  </r>
  <r>
    <n v="1510"/>
    <s v="QC"/>
    <x v="8"/>
    <x v="2"/>
    <n v="48"/>
    <s v="Mild"/>
    <s v="Surface ripened, washed rind"/>
    <x v="0"/>
    <x v="1"/>
    <x v="2"/>
    <s v="Pasteurized"/>
    <x v="0"/>
    <s v="Tomme du Haut-Richelieu"/>
    <x v="0"/>
    <s v="Qubec"/>
  </r>
  <r>
    <n v="1511"/>
    <s v="QC"/>
    <x v="8"/>
    <x v="2"/>
    <n v="31"/>
    <s v="Lactic, lightly nutty with notes of caramel"/>
    <s v=""/>
    <x v="1"/>
    <x v="0"/>
    <x v="1"/>
    <s v="Raw Milk"/>
    <x v="1"/>
    <s v="Gré des champs (Le)"/>
    <x v="1"/>
    <s v="Qubec"/>
  </r>
  <r>
    <n v="1512"/>
    <s v="QC"/>
    <x v="8"/>
    <x v="2"/>
    <n v="44"/>
    <s v="Floral with a note of mushrooms"/>
    <s v="Light yellow color with small openings du to the type of moulding process"/>
    <x v="1"/>
    <x v="1"/>
    <x v="1"/>
    <s v="Raw Milk"/>
    <x v="0"/>
    <s v="D'Iberville (Le)"/>
    <x v="1"/>
    <s v="Qubec"/>
  </r>
  <r>
    <n v="1513"/>
    <s v="QC"/>
    <x v="8"/>
    <x v="2"/>
    <n v="29"/>
    <s v="Sharp nutty taste"/>
    <s v="Cooked mixed rind"/>
    <x v="1"/>
    <x v="0"/>
    <x v="1"/>
    <s v="Raw Milk"/>
    <x v="1"/>
    <s v="Monnoir (Le)"/>
    <x v="1"/>
    <s v="Qubec"/>
  </r>
  <r>
    <n v="1514"/>
    <s v="QC"/>
    <x v="8"/>
    <x v="0"/>
    <n v="43"/>
    <s v="Buttery and fruity"/>
    <s v="Orange rind, golden-yellow interior showing small holes"/>
    <x v="0"/>
    <x v="1"/>
    <x v="1"/>
    <s v="Thermised"/>
    <x v="1"/>
    <s v="Pikauba"/>
    <x v="1"/>
    <s v="Qubec"/>
  </r>
  <r>
    <n v="1515"/>
    <s v="QC"/>
    <x v="8"/>
    <x v="0"/>
    <n v="48"/>
    <s v="Notes of cream and hazelnut"/>
    <s v="Surface ripened, washed rind"/>
    <x v="0"/>
    <x v="4"/>
    <x v="1"/>
    <s v="Thermised"/>
    <x v="0"/>
    <s v="Kénogami (Le)"/>
    <x v="0"/>
    <s v="Qubec"/>
  </r>
  <r>
    <n v="1517"/>
    <s v="QC"/>
    <x v="8"/>
    <x v="1"/>
    <n v="39"/>
    <s v="Hazelnut flavor that intensifies with age"/>
    <s v="Creamy-colored"/>
    <x v="0"/>
    <x v="0"/>
    <x v="1"/>
    <s v="Pasteurized"/>
    <x v="3"/>
    <s v="Cheddar doux (Fromagerie Lemaire)"/>
    <x v="1"/>
    <s v="Qubec"/>
  </r>
  <r>
    <n v="1518"/>
    <s v="QC"/>
    <x v="8"/>
    <x v="1"/>
    <n v="39"/>
    <s v="Hazelnut flavor that intensifies with age"/>
    <s v="Creamy-colored"/>
    <x v="0"/>
    <x v="0"/>
    <x v="1"/>
    <s v="Pasteurized"/>
    <x v="3"/>
    <s v="Cheddar mi-fort (Fromagerie Lemaire)"/>
    <x v="1"/>
    <s v="Qubec"/>
  </r>
  <r>
    <n v="1519"/>
    <s v="QC"/>
    <x v="8"/>
    <x v="1"/>
    <n v="39"/>
    <s v="Hazelnut flavor that intensifies with age"/>
    <s v="Creamy-colored"/>
    <x v="0"/>
    <x v="0"/>
    <x v="1"/>
    <s v="Pasteurized"/>
    <x v="3"/>
    <s v="Cheddar fort (Fromagerie Lemaire)"/>
    <x v="1"/>
    <s v="Qubec"/>
  </r>
  <r>
    <n v="1520"/>
    <s v="QC"/>
    <x v="8"/>
    <x v="1"/>
    <n v="39"/>
    <s v="Hazelnut flavour that intensifies with age"/>
    <s v="Creamy-colored"/>
    <x v="0"/>
    <x v="0"/>
    <x v="1"/>
    <s v="Pasteurized"/>
    <x v="3"/>
    <s v="Cheddar très fort (Fromagerie Lemaire)"/>
    <x v="1"/>
    <s v="Qubec"/>
  </r>
  <r>
    <n v="1521"/>
    <s v="QC"/>
    <x v="8"/>
    <x v="1"/>
    <n v="47.06"/>
    <s v=""/>
    <s v="Light Monterey Jack type cheese"/>
    <x v="0"/>
    <x v="0"/>
    <x v="1"/>
    <s v="Pasteurized"/>
    <x v="3"/>
    <s v="Voltigeur"/>
    <x v="0"/>
    <s v="Qubec"/>
  </r>
  <r>
    <n v="1522"/>
    <s v="QC"/>
    <x v="8"/>
    <x v="1"/>
    <n v="40"/>
    <s v="Emmental-like flavor, but less pronounced. Slightly sweet almond flavor."/>
    <s v="Firm and supple cheese showing big round eyes distributed in the mass"/>
    <x v="0"/>
    <x v="0"/>
    <x v="1"/>
    <s v="Pasteurized"/>
    <x v="3"/>
    <s v="Suisse (Fromagerie Lemaire)"/>
    <x v="0"/>
    <s v="Qubec"/>
  </r>
  <r>
    <n v="1523"/>
    <s v="QC"/>
    <x v="8"/>
    <x v="2"/>
    <n v="55"/>
    <s v="Lactic, slightly acid"/>
    <s v="Cylindrical-shaped"/>
    <x v="0"/>
    <x v="4"/>
    <x v="0"/>
    <s v="Pasteurized"/>
    <x v="1"/>
    <s v="Deo Gratias (Le)"/>
    <x v="0"/>
    <s v="Qubec"/>
  </r>
  <r>
    <n v="1524"/>
    <s v="QC"/>
    <x v="8"/>
    <x v="2"/>
    <n v="55"/>
    <s v="Vegetable flavor"/>
    <s v="Very white, runny and unctuous. Small rounds."/>
    <x v="0"/>
    <x v="4"/>
    <x v="0"/>
    <s v="Pasteurized"/>
    <x v="2"/>
    <s v="Secret de Maurice (Le)"/>
    <x v="0"/>
    <s v="Qubec"/>
  </r>
  <r>
    <n v="1525"/>
    <s v="QC"/>
    <x v="8"/>
    <x v="2"/>
    <n v="45"/>
    <s v="Floral aroma"/>
    <s v="Brownish with white specks, washed rind"/>
    <x v="0"/>
    <x v="1"/>
    <x v="4"/>
    <s v="Pasteurized"/>
    <x v="0"/>
    <s v="Tomme D'Elles (La)"/>
    <x v="1"/>
    <s v="Qubec"/>
  </r>
  <r>
    <n v="1526"/>
    <s v="QC"/>
    <x v="8"/>
    <x v="2"/>
    <n v="44"/>
    <s v="Pronounced with notes of cream and mushrooms"/>
    <s v="Veined cheese"/>
    <x v="0"/>
    <x v="2"/>
    <x v="1"/>
    <s v="Raw Milk"/>
    <x v="1"/>
    <s v="Ciel de Charlevoix (Le)"/>
    <x v="1"/>
    <s v="Qubec"/>
  </r>
  <r>
    <n v="1527"/>
    <s v="QC"/>
    <x v="8"/>
    <x v="2"/>
    <n v="47"/>
    <s v="Sharp, fruity with butter and hazelnut notes"/>
    <s v="Surface-ripened, washed rind, slightly orange, somewhat sticky texture"/>
    <x v="0"/>
    <x v="1"/>
    <x v="1"/>
    <s v="Pasteurized"/>
    <x v="0"/>
    <s v="Migneron de Charlevoix (Le)"/>
    <x v="0"/>
    <s v="Qubec"/>
  </r>
  <r>
    <n v="1529"/>
    <s v="QC"/>
    <x v="8"/>
    <x v="0"/>
    <n v="70"/>
    <s v="Slightly sweet taste"/>
    <s v="Semi-granular texture"/>
    <x v="0"/>
    <x v="3"/>
    <x v="0"/>
    <s v="Pasteurized"/>
    <x v="3"/>
    <s v="Ricotta La Moutonnière"/>
    <x v="0"/>
    <s v="Qubec"/>
  </r>
  <r>
    <n v="1530"/>
    <s v="QC"/>
    <x v="8"/>
    <x v="0"/>
    <n v="48"/>
    <s v="Mild and distinctive"/>
    <s v="Veined cheese, natural rind"/>
    <x v="0"/>
    <x v="2"/>
    <x v="0"/>
    <s v="Pasteurized"/>
    <x v="1"/>
    <s v="Bleu de la Moutonnière (Le)"/>
    <x v="0"/>
    <s v="Qubec"/>
  </r>
  <r>
    <n v="1531"/>
    <s v="QC"/>
    <x v="8"/>
    <x v="0"/>
    <n v="58"/>
    <s v="All sorts of subtle and full-bodied flavors from hazelnut to spices"/>
    <s v=""/>
    <x v="0"/>
    <x v="4"/>
    <x v="0"/>
    <s v="Pasteurized"/>
    <x v="1"/>
    <s v="Cabanon (Le)"/>
    <x v="0"/>
    <s v="Qubec"/>
  </r>
  <r>
    <n v="1532"/>
    <s v="QC"/>
    <x v="8"/>
    <x v="0"/>
    <n v="50"/>
    <s v="Mild, almond taste"/>
    <s v="Creamy texture. Pressed cheese, uncooked."/>
    <x v="0"/>
    <x v="1"/>
    <x v="0"/>
    <s v="Pasteurized"/>
    <x v="1"/>
    <s v="Fleur des Monts"/>
    <x v="1"/>
    <s v="Qubec"/>
  </r>
  <r>
    <n v="1533"/>
    <s v="QC"/>
    <x v="8"/>
    <x v="0"/>
    <n v="60"/>
    <s v="Mild, slightly sweet"/>
    <s v="Creamy, soft texture"/>
    <x v="0"/>
    <x v="3"/>
    <x v="0"/>
    <s v="Pasteurized"/>
    <x v="1"/>
    <s v="Neige de Brebis (Le)"/>
    <x v="0"/>
    <s v="Qubec"/>
  </r>
  <r>
    <n v="1534"/>
    <s v="QC"/>
    <x v="8"/>
    <x v="0"/>
    <n v="50"/>
    <s v="Strong and flavourful"/>
    <s v="Creamy, slightly aged rind, very soft, becomes increasingly firm in texture and develops amber-coloured rind as it ages"/>
    <x v="0"/>
    <x v="4"/>
    <x v="0"/>
    <s v="Pasteurized"/>
    <x v="2"/>
    <s v="Bercail (Le)"/>
    <x v="0"/>
    <s v="Qubec"/>
  </r>
  <r>
    <n v="1535"/>
    <s v="QC"/>
    <x v="8"/>
    <x v="0"/>
    <n v="48"/>
    <s v="Delicate aroma of blue cheese without the sharp spicy flavour"/>
    <s v="Lightly veined by natural green and blue molds"/>
    <x v="0"/>
    <x v="2"/>
    <x v="0"/>
    <s v="Pasteurized"/>
    <x v="1"/>
    <s v="Soupçon de Bleu (Le)"/>
    <x v="0"/>
    <s v="Qubec"/>
  </r>
  <r>
    <n v="1536"/>
    <s v="QC"/>
    <x v="8"/>
    <x v="0"/>
    <n v="58"/>
    <s v="Mild"/>
    <s v=""/>
    <x v="0"/>
    <x v="4"/>
    <x v="0"/>
    <s v="Pasteurized"/>
    <x v="2"/>
    <s v="Foin d'odeur (Le)"/>
    <x v="0"/>
    <s v="Qubec"/>
  </r>
  <r>
    <n v="1537"/>
    <s v="QC"/>
    <x v="8"/>
    <x v="0"/>
    <n v="54"/>
    <s v="Pronounced, acidulous and salty"/>
    <s v="Lightly pressed, very soft and crumbly texture"/>
    <x v="0"/>
    <x v="3"/>
    <x v="0"/>
    <s v="Pasteurized"/>
    <x v="1"/>
    <s v="Féta La Moutonnière"/>
    <x v="0"/>
    <s v="Qubec"/>
  </r>
  <r>
    <n v="1538"/>
    <s v="QC"/>
    <x v="8"/>
    <x v="2"/>
    <n v="42"/>
    <s v="Flavors : plain, BBQ, garlic, onion, fine herbs, maple, souvlaki, 3 peppers and bacon"/>
    <s v="Cheese curds or blocks"/>
    <x v="0"/>
    <x v="0"/>
    <x v="1"/>
    <s v="Pasteurized"/>
    <x v="3"/>
    <s v="Cheddar frais (La Pépite d'Or)"/>
    <x v="0"/>
    <s v="Qubec"/>
  </r>
  <r>
    <n v="1541"/>
    <s v="QC"/>
    <x v="8"/>
    <x v="2"/>
    <n v="52"/>
    <s v=""/>
    <s v=""/>
    <x v="0"/>
    <x v="1"/>
    <x v="1"/>
    <s v="Pasteurized"/>
    <x v="3"/>
    <s v="Mozzarella (La Pépite d'Or)"/>
    <x v="0"/>
    <s v="Qubec"/>
  </r>
  <r>
    <n v="1542"/>
    <s v="QC"/>
    <x v="8"/>
    <x v="2"/>
    <n v="39"/>
    <s v="Mild to sharp"/>
    <s v="Creamy-colored, crumbly texture"/>
    <x v="0"/>
    <x v="0"/>
    <x v="1"/>
    <s v="Raw Milk"/>
    <x v="1"/>
    <s v="Grand Cahill (Le)"/>
    <x v="0"/>
    <s v="Qubec"/>
  </r>
  <r>
    <n v="1543"/>
    <s v="QC"/>
    <x v="8"/>
    <x v="2"/>
    <n v="39"/>
    <s v="Fruity flavor that intensifies with age"/>
    <s v="Medium white cheddar (3 to 9 months)"/>
    <x v="0"/>
    <x v="0"/>
    <x v="1"/>
    <s v="Thermised"/>
    <x v="3"/>
    <s v="Cheddar moyen (Fromagerie Perron)"/>
    <x v="1"/>
    <s v="Qubec"/>
  </r>
  <r>
    <n v="1544"/>
    <s v="QC"/>
    <x v="8"/>
    <x v="2"/>
    <n v="39"/>
    <s v="Fruity flavor that intensifies with age"/>
    <s v=""/>
    <x v="0"/>
    <x v="0"/>
    <x v="1"/>
    <s v="Thermised"/>
    <x v="3"/>
    <s v="Cheddar 1 an (Fromagerie Perron)"/>
    <x v="1"/>
    <s v="Qubec"/>
  </r>
  <r>
    <n v="1545"/>
    <s v="QC"/>
    <x v="8"/>
    <x v="2"/>
    <n v="39"/>
    <s v="Fruity flavor that intensifies with age"/>
    <s v=""/>
    <x v="0"/>
    <x v="0"/>
    <x v="1"/>
    <s v="Thermised"/>
    <x v="3"/>
    <s v="Cheddar 2 ans (Fromagerie Perron)"/>
    <x v="1"/>
    <s v="Qubec"/>
  </r>
  <r>
    <n v="1546"/>
    <s v="QC"/>
    <x v="8"/>
    <x v="2"/>
    <n v="39"/>
    <s v=""/>
    <s v=""/>
    <x v="0"/>
    <x v="0"/>
    <x v="1"/>
    <s v="Thermised"/>
    <x v="3"/>
    <s v="Doyen (Le)"/>
    <x v="1"/>
    <s v="Qubec"/>
  </r>
  <r>
    <n v="1547"/>
    <s v="QC"/>
    <x v="8"/>
    <x v="2"/>
    <n v="39"/>
    <s v=""/>
    <s v=""/>
    <x v="0"/>
    <x v="0"/>
    <x v="1"/>
    <s v="Raw Milk"/>
    <x v="3"/>
    <s v="Réserve spéciale 115e"/>
    <x v="1"/>
    <s v="Qubec"/>
  </r>
  <r>
    <n v="1548"/>
    <s v="QC"/>
    <x v="8"/>
    <x v="2"/>
    <n v="41"/>
    <s v=""/>
    <s v=""/>
    <x v="0"/>
    <x v="0"/>
    <x v="1"/>
    <s v="Pasteurized"/>
    <x v="3"/>
    <s v="Suisse léger (Fromagerie Perron)"/>
    <x v="0"/>
    <s v="Qubec"/>
  </r>
  <r>
    <n v="1549"/>
    <s v="QC"/>
    <x v="8"/>
    <x v="2"/>
    <n v="40"/>
    <s v="Mild hazelnutty flavor"/>
    <s v="Swiss type cheese, interior ripened"/>
    <x v="0"/>
    <x v="0"/>
    <x v="1"/>
    <s v="Pasteurized"/>
    <x v="3"/>
    <s v="Suisse (Fromagerie Perron)"/>
    <x v="0"/>
    <s v="Qubec"/>
  </r>
  <r>
    <n v="1550"/>
    <s v="QC"/>
    <x v="8"/>
    <x v="2"/>
    <n v="39"/>
    <s v="Sharp to pronounced, winey flavour"/>
    <s v="Pressed and cooked cheese, interior-ripened"/>
    <x v="0"/>
    <x v="0"/>
    <x v="1"/>
    <s v="Thermised"/>
    <x v="3"/>
    <s v="Cheddar au Porto (Fromagerie Perron)"/>
    <x v="1"/>
    <s v="Qubec"/>
  </r>
  <r>
    <n v="1551"/>
    <s v="QC"/>
    <x v="8"/>
    <x v="2"/>
    <n v="40"/>
    <s v="Mild hazelnut flavor"/>
    <s v="Mild hazelnut aroma"/>
    <x v="0"/>
    <x v="0"/>
    <x v="1"/>
    <s v="Raw Milk"/>
    <x v="3"/>
    <s v="Suisse au lait cru (Fromagerie Perron)"/>
    <x v="0"/>
    <s v="Qubec"/>
  </r>
  <r>
    <n v="1552"/>
    <s v="QC"/>
    <x v="8"/>
    <x v="2"/>
    <n v="40"/>
    <s v="Very mild. Curds are aslo available BBQ seasoned"/>
    <s v="Daily fresh, withe cheese curds, twist or blocks."/>
    <x v="0"/>
    <x v="0"/>
    <x v="1"/>
    <s v="Pasteurized"/>
    <x v="3"/>
    <s v="Cheddar frais du jour (Fromagerie Perron)"/>
    <x v="1"/>
    <s v="Qubec"/>
  </r>
  <r>
    <n v="1553"/>
    <s v="QC"/>
    <x v="8"/>
    <x v="2"/>
    <n v="24"/>
    <s v="Pronounced and fruity"/>
    <s v="Pressed, storage cheese"/>
    <x v="0"/>
    <x v="0"/>
    <x v="1"/>
    <s v="Raw Milk"/>
    <x v="1"/>
    <s v="Tomme des Demoiselles (La)"/>
    <x v="1"/>
    <s v="Qubec"/>
  </r>
  <r>
    <n v="1554"/>
    <s v="QC"/>
    <x v="8"/>
    <x v="2"/>
    <n v="50"/>
    <s v="Mild to tangy, slightly salty"/>
    <s v="White and velvety bloomy rind, smooth and creamy  texture"/>
    <x v="0"/>
    <x v="4"/>
    <x v="1"/>
    <s v="Raw Milk"/>
    <x v="2"/>
    <s v="Jeune-Coeur"/>
    <x v="0"/>
    <s v="Qubec"/>
  </r>
  <r>
    <n v="1555"/>
    <s v="QC"/>
    <x v="8"/>
    <x v="2"/>
    <n v="50"/>
    <s v="Sharp, hazelnut flavour and slightly salty"/>
    <s v=""/>
    <x v="0"/>
    <x v="4"/>
    <x v="1"/>
    <s v="Raw Milk"/>
    <x v="0"/>
    <s v="Pied-de-vent"/>
    <x v="0"/>
    <s v="Qubec"/>
  </r>
  <r>
    <n v="1556"/>
    <s v="QC"/>
    <x v="8"/>
    <x v="2"/>
    <n v="45"/>
    <s v="Slightly nutty"/>
    <s v="Reblochon type cheese"/>
    <x v="0"/>
    <x v="1"/>
    <x v="1"/>
    <s v="Pasteurized"/>
    <x v="0"/>
    <s v="Curé Labelle"/>
    <x v="0"/>
    <s v="Qubec"/>
  </r>
  <r>
    <n v="1557"/>
    <s v="QC"/>
    <x v="8"/>
    <x v="2"/>
    <n v="48"/>
    <s v="Fresh cream taste"/>
    <s v="Raclette type cheese"/>
    <x v="0"/>
    <x v="1"/>
    <x v="2"/>
    <s v="Pasteurized"/>
    <x v="0"/>
    <s v="Fée des bois"/>
    <x v="0"/>
    <s v="Qubec"/>
  </r>
  <r>
    <n v="1558"/>
    <s v="QC"/>
    <x v="8"/>
    <x v="2"/>
    <n v="48"/>
    <s v="Spicy"/>
    <s v="Raclette type cheese"/>
    <x v="0"/>
    <x v="1"/>
    <x v="2"/>
    <s v="Pasteurized"/>
    <x v="0"/>
    <s v="Barre du jour"/>
    <x v="0"/>
    <s v="Qubec"/>
  </r>
  <r>
    <n v="1559"/>
    <s v="QC"/>
    <x v="8"/>
    <x v="2"/>
    <n v="57"/>
    <s v=""/>
    <s v="Spreadable cheese"/>
    <x v="0"/>
    <x v="3"/>
    <x v="2"/>
    <s v="Pasteurized"/>
    <x v="3"/>
    <s v="Chevrier"/>
    <x v="1"/>
    <s v="Qubec"/>
  </r>
  <r>
    <n v="1560"/>
    <s v="QC"/>
    <x v="8"/>
    <x v="2"/>
    <n v="35"/>
    <s v=""/>
    <s v="Twisted cheddar type cheese"/>
    <x v="0"/>
    <x v="0"/>
    <x v="1"/>
    <s v="Pasteurized"/>
    <x v="3"/>
    <s v="Tortillard"/>
    <x v="1"/>
    <s v="Qubec"/>
  </r>
  <r>
    <n v="1561"/>
    <s v="QC"/>
    <x v="8"/>
    <x v="2"/>
    <n v="41"/>
    <s v="Nutty taste"/>
    <s v="Slightly crumbly texture"/>
    <x v="0"/>
    <x v="0"/>
    <x v="1"/>
    <s v="Pasteurized"/>
    <x v="3"/>
    <s v="Cheddar nature (le P'tit Train du Nord)"/>
    <x v="1"/>
    <s v="Qubec"/>
  </r>
  <r>
    <n v="1562"/>
    <s v="QC"/>
    <x v="8"/>
    <x v="2"/>
    <n v="41"/>
    <s v="Nutty taste with a hint of Porto"/>
    <s v=""/>
    <x v="0"/>
    <x v="0"/>
    <x v="1"/>
    <s v="Pasteurized"/>
    <x v="3"/>
    <s v="Cheddar aromatisé au Porto (le P'tit Train du Nord)"/>
    <x v="1"/>
    <s v="Qubec"/>
  </r>
  <r>
    <n v="1564"/>
    <s v="QC"/>
    <x v="8"/>
    <x v="2"/>
    <n v="40"/>
    <s v="Distinct taste of nuts with creamy and buttery notes"/>
    <s v="Pressed and cooked cheese, surface ripened, washed rind"/>
    <x v="0"/>
    <x v="1"/>
    <x v="1"/>
    <s v="Thermised"/>
    <x v="1"/>
    <s v="Wabassee"/>
    <x v="0"/>
    <s v="Qubec"/>
  </r>
  <r>
    <n v="1565"/>
    <s v="QC"/>
    <x v="8"/>
    <x v="2"/>
    <n v="40"/>
    <s v="Slightly fruity flavours with sweeter notes provided by the mead"/>
    <s v="Pressed, cooked, washed-rind cheese"/>
    <x v="0"/>
    <x v="0"/>
    <x v="1"/>
    <s v="Thermised"/>
    <x v="1"/>
    <s v="Windigo"/>
    <x v="0"/>
    <s v="Qubec"/>
  </r>
  <r>
    <n v="1566"/>
    <s v="QC"/>
    <x v="8"/>
    <x v="2"/>
    <n v="45"/>
    <s v=""/>
    <s v="Creamy"/>
    <x v="0"/>
    <x v="1"/>
    <x v="4"/>
    <s v="Thermised"/>
    <x v="1"/>
    <s v="Duo du Paradis"/>
    <x v="0"/>
    <s v="Qubec"/>
  </r>
  <r>
    <n v="1567"/>
    <s v="QC"/>
    <x v="8"/>
    <x v="2"/>
    <n v="55"/>
    <s v="Mild"/>
    <s v="Creamy and crumbly"/>
    <x v="0"/>
    <x v="3"/>
    <x v="0"/>
    <s v="Pasteurized"/>
    <x v="3"/>
    <s v="Petit Soleil"/>
    <x v="0"/>
    <s v="Qubec"/>
  </r>
  <r>
    <n v="1568"/>
    <s v="QC"/>
    <x v="8"/>
    <x v="2"/>
    <n v="55"/>
    <s v=""/>
    <s v="Fresh cheese marinated in sunflower oil"/>
    <x v="0"/>
    <x v="4"/>
    <x v="2"/>
    <s v="Pasteurized"/>
    <x v="3"/>
    <s v="Boules de Chèvre"/>
    <x v="0"/>
    <s v="Qubec"/>
  </r>
  <r>
    <n v="1569"/>
    <s v="QC"/>
    <x v="8"/>
    <x v="1"/>
    <n v="60"/>
    <s v="Salty, slightly tangy and strong taste"/>
    <s v="Soft, smooth and crumbly texture"/>
    <x v="0"/>
    <x v="1"/>
    <x v="1"/>
    <s v="Pasteurized"/>
    <x v="3"/>
    <s v="Fetos Feta léger (Saputo)"/>
    <x v="0"/>
    <s v="Qubec"/>
  </r>
  <r>
    <n v="1570"/>
    <s v="QC"/>
    <x v="8"/>
    <x v="1"/>
    <n v="76"/>
    <s v="Fresh with a bitter hint"/>
    <s v="White fresh cheese"/>
    <x v="0"/>
    <x v="3"/>
    <x v="1"/>
    <s v="Pasteurized"/>
    <x v="3"/>
    <s v="Ricotta de Lactosérum Bari"/>
    <x v="0"/>
    <s v="Qubec"/>
  </r>
  <r>
    <n v="1571"/>
    <s v="QC"/>
    <x v="8"/>
    <x v="1"/>
    <n v="60"/>
    <s v=""/>
    <s v="Fresh soft cheese - Mozzarella"/>
    <x v="0"/>
    <x v="3"/>
    <x v="1"/>
    <s v="Pasteurized"/>
    <x v="3"/>
    <s v="Mozzarella (Fiorella)"/>
    <x v="0"/>
    <s v="Qubec"/>
  </r>
  <r>
    <n v="1572"/>
    <s v="QC"/>
    <x v="8"/>
    <x v="1"/>
    <n v="52"/>
    <s v=""/>
    <s v="Stretchy cheese"/>
    <x v="0"/>
    <x v="1"/>
    <x v="1"/>
    <s v="Pasteurized"/>
    <x v="3"/>
    <s v="Mozzarella (Lino)"/>
    <x v="0"/>
    <s v="Qubec"/>
  </r>
  <r>
    <n v="1573"/>
    <s v="QC"/>
    <x v="8"/>
    <x v="1"/>
    <n v="52"/>
    <s v=""/>
    <s v="Stretchy cheese"/>
    <x v="0"/>
    <x v="1"/>
    <x v="1"/>
    <s v="Pasteurized"/>
    <x v="3"/>
    <s v="Mozzarella (Mozza Fina)"/>
    <x v="0"/>
    <s v="Qubec"/>
  </r>
  <r>
    <n v="1574"/>
    <s v="QC"/>
    <x v="8"/>
    <x v="1"/>
    <n v="52"/>
    <s v=""/>
    <s v="Stretchy cheese"/>
    <x v="0"/>
    <x v="1"/>
    <x v="1"/>
    <s v="Pasteurized"/>
    <x v="3"/>
    <s v="Mozzarella (Saputo)"/>
    <x v="0"/>
    <s v="Qubec"/>
  </r>
  <r>
    <n v="1578"/>
    <s v="QC"/>
    <x v="8"/>
    <x v="1"/>
    <n v="39"/>
    <s v=""/>
    <s v="Available white, yellow or marble"/>
    <x v="0"/>
    <x v="0"/>
    <x v="1"/>
    <s v="Pasteurized"/>
    <x v="3"/>
    <s v="Cheddar Kingsey"/>
    <x v="1"/>
    <s v="Qubec"/>
  </r>
  <r>
    <n v="1581"/>
    <s v="QC"/>
    <x v="8"/>
    <x v="1"/>
    <n v="45"/>
    <s v="Mild, butter and almond flavours becomes more pronounced with age"/>
    <s v="Pressed and cooked cheese, interior-ripened, slightly stringy texture"/>
    <x v="0"/>
    <x v="0"/>
    <x v="1"/>
    <s v="Pasteurized"/>
    <x v="3"/>
    <s v="Caciocavallo (Saputo)"/>
    <x v="0"/>
    <s v="Qubec"/>
  </r>
  <r>
    <n v="1582"/>
    <s v="QC"/>
    <x v="8"/>
    <x v="1"/>
    <n v="45"/>
    <s v="Sharp, lactic, smoky flavour"/>
    <s v="Pressed and cooked cheese, pasta filata"/>
    <x v="0"/>
    <x v="0"/>
    <x v="1"/>
    <s v="Pasteurized"/>
    <x v="3"/>
    <s v="Caciocavallo fumé (Saputo)"/>
    <x v="0"/>
    <s v="Qubec"/>
  </r>
  <r>
    <n v="1583"/>
    <s v="QC"/>
    <x v="8"/>
    <x v="1"/>
    <n v="45"/>
    <s v="Mild and hazelnutty"/>
    <s v="Cooked, Canadian Swiss type of cheese"/>
    <x v="0"/>
    <x v="0"/>
    <x v="1"/>
    <s v="Pasteurized"/>
    <x v="1"/>
    <s v="Cogruet (Le)"/>
    <x v="0"/>
    <s v="Qubec"/>
  </r>
  <r>
    <n v="1584"/>
    <s v="QC"/>
    <x v="8"/>
    <x v="1"/>
    <n v="60"/>
    <s v="Goat's milk and fresh cream"/>
    <s v="Smooth and creamy texture"/>
    <x v="0"/>
    <x v="4"/>
    <x v="1"/>
    <s v="Pasteurized"/>
    <x v="3"/>
    <s v="Mozzarina Mediterrano"/>
    <x v="0"/>
    <s v="Qubec"/>
  </r>
  <r>
    <n v="1585"/>
    <s v="QC"/>
    <x v="8"/>
    <x v="1"/>
    <n v="52"/>
    <s v="Mild, milky flavoured cheese with a lightly salted butter flavour"/>
    <s v="Melt-in-your-mouth texture, stretchy cheese"/>
    <x v="0"/>
    <x v="1"/>
    <x v="1"/>
    <s v="Pasteurized"/>
    <x v="3"/>
    <s v="Mozzarellissima"/>
    <x v="0"/>
    <s v="Qubec"/>
  </r>
  <r>
    <n v="1586"/>
    <s v="QC"/>
    <x v="8"/>
    <x v="1"/>
    <n v="50"/>
    <s v="Sharp"/>
    <s v=""/>
    <x v="0"/>
    <x v="1"/>
    <x v="1"/>
    <s v="Pasteurized"/>
    <x v="0"/>
    <s v="Raclette Kingsey"/>
    <x v="0"/>
    <s v="Qubec"/>
  </r>
  <r>
    <n v="1587"/>
    <s v="QC"/>
    <x v="8"/>
    <x v="1"/>
    <n v="60"/>
    <s v="Delicate milk taste"/>
    <s v="Pasta filata cheese, smooth, velvety and rather firm texture"/>
    <x v="0"/>
    <x v="3"/>
    <x v="1"/>
    <s v="Pasteurized"/>
    <x v="3"/>
    <s v="Bocconcini (Saputo)"/>
    <x v="0"/>
    <s v="Qubec"/>
  </r>
  <r>
    <n v="1588"/>
    <s v="QC"/>
    <x v="8"/>
    <x v="1"/>
    <n v="60"/>
    <s v="Delicat milk taste"/>
    <s v="Thread-like cheese stored in salt water, velvety texture"/>
    <x v="0"/>
    <x v="4"/>
    <x v="1"/>
    <s v="Pasteurized"/>
    <x v="3"/>
    <s v="Trecce (Saputo)"/>
    <x v="0"/>
    <s v="Qubec"/>
  </r>
  <r>
    <n v="1589"/>
    <s v="QC"/>
    <x v="8"/>
    <x v="1"/>
    <n v="55"/>
    <s v="Salty, slightly tangy and strong taste. Available seasoned with sundried tomatoes, olives or oregano."/>
    <s v="Soft, smooth and crumbly texture"/>
    <x v="0"/>
    <x v="1"/>
    <x v="1"/>
    <s v="Pasteurized"/>
    <x v="3"/>
    <s v="Fetos Feta (Saputo)"/>
    <x v="0"/>
    <s v="Qubec"/>
  </r>
  <r>
    <n v="1590"/>
    <s v="QC"/>
    <x v="8"/>
    <x v="1"/>
    <n v="45"/>
    <s v="Smooth and velvety, with a hint of butter, flavour becomes stronger and tangier with age"/>
    <s v="Pressed, cooked, stretch-type, interior-ripened cheese"/>
    <x v="0"/>
    <x v="0"/>
    <x v="1"/>
    <s v="Pasteurized"/>
    <x v="1"/>
    <s v="Provolone (Saputo)"/>
    <x v="0"/>
    <s v="Qubec"/>
  </r>
  <r>
    <n v="1591"/>
    <s v="QC"/>
    <x v="8"/>
    <x v="1"/>
    <n v="65"/>
    <s v="Fresh, very mild, lactic"/>
    <s v="White fresh cheese"/>
    <x v="0"/>
    <x v="3"/>
    <x v="1"/>
    <s v="Pasteurized"/>
    <x v="3"/>
    <s v="Tuma"/>
    <x v="0"/>
    <s v="Qubec"/>
  </r>
  <r>
    <n v="1593"/>
    <s v="QC"/>
    <x v="8"/>
    <x v="2"/>
    <n v="50"/>
    <s v="Flavours of hazelnut, mushrooms and sweet butter"/>
    <s v=""/>
    <x v="0"/>
    <x v="4"/>
    <x v="1"/>
    <s v="Thermised"/>
    <x v="2"/>
    <s v="Riopelle de l'Isle (Le)"/>
    <x v="1"/>
    <s v="Qubec"/>
  </r>
  <r>
    <n v="1594"/>
    <s v="QC"/>
    <x v="8"/>
    <x v="2"/>
    <n v="45"/>
    <s v="Woodsy aroma, slightly acid taste"/>
    <s v="Uniform texture showing small holes, brushed rind"/>
    <x v="0"/>
    <x v="1"/>
    <x v="1"/>
    <s v="Thermised"/>
    <x v="4"/>
    <s v="Tomme de Grosse-Île"/>
    <x v="1"/>
    <s v="Qubec"/>
  </r>
  <r>
    <n v="1595"/>
    <s v="QC"/>
    <x v="8"/>
    <x v="2"/>
    <n v="50"/>
    <s v="Sharp, hazelnut flavour with a slight bitterness"/>
    <s v="Bloomy rind, washed rind"/>
    <x v="0"/>
    <x v="4"/>
    <x v="1"/>
    <s v="Thermised"/>
    <x v="2"/>
    <s v="Mi-Carême"/>
    <x v="0"/>
    <s v="Qubec"/>
  </r>
  <r>
    <n v="1596"/>
    <s v="QC"/>
    <x v="8"/>
    <x v="2"/>
    <n v="39"/>
    <s v="Hazelnut flavour that intensifies with age"/>
    <s v="Pressed and cooked cheese, interior ripened"/>
    <x v="0"/>
    <x v="0"/>
    <x v="1"/>
    <s v="Thermised"/>
    <x v="3"/>
    <s v="Cheddar vieilli de l'île-aux-Grues"/>
    <x v="1"/>
    <s v="Qubec"/>
  </r>
  <r>
    <n v="1597"/>
    <s v="QC"/>
    <x v="8"/>
    <x v="2"/>
    <n v="39"/>
    <s v="Herbs flavor"/>
    <s v="Unripened"/>
    <x v="0"/>
    <x v="0"/>
    <x v="1"/>
    <s v="Pasteurized"/>
    <x v="3"/>
    <s v="St-Antoine (Le)"/>
    <x v="1"/>
    <s v="Qubec"/>
  </r>
  <r>
    <n v="1598"/>
    <s v="QC"/>
    <x v="8"/>
    <x v="2"/>
    <n v="55"/>
    <s v="Mild, pungent and very salty"/>
    <s v="Goat's Feta. White and creamy texture which is not crumbly."/>
    <x v="0"/>
    <x v="1"/>
    <x v="2"/>
    <s v="Raw Milk"/>
    <x v="3"/>
    <s v="Fermier (Le)"/>
    <x v="0"/>
    <s v="Qubec"/>
  </r>
  <r>
    <n v="1599"/>
    <s v="QC"/>
    <x v="8"/>
    <x v="2"/>
    <n v="40"/>
    <s v="Sharp, slight fruity and hazelnut note finish"/>
    <s v=""/>
    <x v="0"/>
    <x v="1"/>
    <x v="2"/>
    <s v="Raw Milk"/>
    <x v="0"/>
    <s v="Capra (Le)"/>
    <x v="0"/>
    <s v="Qubec"/>
  </r>
  <r>
    <n v="1600"/>
    <s v="QC"/>
    <x v="8"/>
    <x v="2"/>
    <n v="63"/>
    <s v="Mild with slight tart accent. Herbs or plain."/>
    <s v="Fresh cheese, spreadable creamy texture."/>
    <x v="0"/>
    <x v="3"/>
    <x v="2"/>
    <s v="Pasteurized"/>
    <x v="3"/>
    <s v="Caprice (Le)"/>
    <x v="0"/>
    <s v="Qubec"/>
  </r>
  <r>
    <n v="1601"/>
    <s v="QC"/>
    <x v="8"/>
    <x v="2"/>
    <n v="43"/>
    <s v="Sharp, with a long finish"/>
    <s v="Creamy cheese with pleasant mushroom aroma"/>
    <x v="0"/>
    <x v="4"/>
    <x v="2"/>
    <s v="Pasteurized"/>
    <x v="2"/>
    <s v="Barbu (Le)"/>
    <x v="0"/>
    <s v="Qubec"/>
  </r>
  <r>
    <n v="1602"/>
    <s v="QC"/>
    <x v="8"/>
    <x v="2"/>
    <n v="43"/>
    <s v="Light goat taste with flavors of thyme and olive"/>
    <s v="Natural rind or ripened in olive oil."/>
    <x v="0"/>
    <x v="3"/>
    <x v="2"/>
    <s v="Pasteurized"/>
    <x v="3"/>
    <s v="Crottin (Le)"/>
    <x v="0"/>
    <s v="Qubec"/>
  </r>
  <r>
    <n v="1603"/>
    <s v="QC"/>
    <x v="8"/>
    <x v="2"/>
    <n v="47"/>
    <s v="Mild, with a slightly pungent taste"/>
    <s v="Milk and field flower aroma"/>
    <x v="0"/>
    <x v="1"/>
    <x v="1"/>
    <s v="Raw Milk"/>
    <x v="0"/>
    <s v="Freddo (Le)"/>
    <x v="1"/>
    <s v="Qubec"/>
  </r>
  <r>
    <n v="1604"/>
    <s v="QC"/>
    <x v="8"/>
    <x v="2"/>
    <n v="56"/>
    <s v="Creamy, fresh milk taste with a hint of salt"/>
    <s v="Camembert type cheese with bloomy rind"/>
    <x v="0"/>
    <x v="4"/>
    <x v="2"/>
    <s v="Pasteurized"/>
    <x v="2"/>
    <s v="Petit Poitou (Le)"/>
    <x v="0"/>
    <s v="Qubec"/>
  </r>
  <r>
    <n v="1605"/>
    <s v="QC"/>
    <x v="8"/>
    <x v="2"/>
    <n v="48"/>
    <s v="Mild"/>
    <s v="Camembert type cheese, white bloomy rind that has a  mushroom aroma, creamy texture"/>
    <x v="0"/>
    <x v="4"/>
    <x v="1"/>
    <s v="Pasteurized"/>
    <x v="2"/>
    <s v="Petit Normand (Le)"/>
    <x v="0"/>
    <s v="Qubec"/>
  </r>
  <r>
    <n v="1606"/>
    <s v="QC"/>
    <x v="8"/>
    <x v="2"/>
    <n v="49"/>
    <s v="Mild and milky with a bitter touch"/>
    <s v="Bloomy rind, fresh mushroom aroma"/>
    <x v="0"/>
    <x v="4"/>
    <x v="1"/>
    <s v="Pasteurized"/>
    <x v="2"/>
    <s v="Pizy (Le)"/>
    <x v="0"/>
    <s v="Qubec"/>
  </r>
  <r>
    <n v="1607"/>
    <s v="QC"/>
    <x v="8"/>
    <x v="2"/>
    <n v="48"/>
    <s v="Sharp"/>
    <s v=""/>
    <x v="0"/>
    <x v="1"/>
    <x v="1"/>
    <s v="Raw Milk"/>
    <x v="0"/>
    <s v="Tome (La)"/>
    <x v="0"/>
    <s v="Qubec"/>
  </r>
  <r>
    <n v="1608"/>
    <s v="QC"/>
    <x v="8"/>
    <x v="2"/>
    <n v="49"/>
    <s v="Pronounced with an explosive finish"/>
    <s v="Pyramidal shape, froggy rind, can present bluish mold"/>
    <x v="0"/>
    <x v="4"/>
    <x v="2"/>
    <s v="Pasteurized"/>
    <x v="1"/>
    <s v="Sabot de Blanchette (Le)"/>
    <x v="0"/>
    <s v="Qubec"/>
  </r>
  <r>
    <n v="1609"/>
    <s v="QC"/>
    <x v="8"/>
    <x v="1"/>
    <n v="55"/>
    <s v="Creamy and mild available in the following: fines herbes, garlic and red pepper"/>
    <s v="Creamy and elastic cheese, easily spreadable"/>
    <x v="0"/>
    <x v="3"/>
    <x v="2"/>
    <s v="Pasteurized"/>
    <x v="3"/>
    <s v="Biquet à la crème (Le)"/>
    <x v="1"/>
    <s v="Qubec"/>
  </r>
  <r>
    <n v="1610"/>
    <s v="QC"/>
    <x v="8"/>
    <x v="1"/>
    <n v="72"/>
    <s v="Plain, seasoned with tomato and thyme or chives"/>
    <s v="Cynlindrical-shaped spreadable cheese"/>
    <x v="0"/>
    <x v="4"/>
    <x v="2"/>
    <s v="Pasteurized"/>
    <x v="3"/>
    <s v="Déli Chèvre (Le)"/>
    <x v="0"/>
    <s v="Qubec"/>
  </r>
  <r>
    <n v="1611"/>
    <s v="QC"/>
    <x v="8"/>
    <x v="1"/>
    <n v="43"/>
    <s v=""/>
    <s v="Dried cheese cut into rounds, crumbly texture"/>
    <x v="0"/>
    <x v="1"/>
    <x v="2"/>
    <s v="Pasteurized"/>
    <x v="3"/>
    <s v="Crottin de chèvre Capriati"/>
    <x v="0"/>
    <s v="Qubec"/>
  </r>
  <r>
    <n v="1612"/>
    <s v="QC"/>
    <x v="8"/>
    <x v="1"/>
    <n v="42"/>
    <s v="Free of bitterness or spiciness, nutty and buttery flavours, sometimes ending in a hint of caramel"/>
    <s v="Cheddar-type of cheese ripened"/>
    <x v="0"/>
    <x v="0"/>
    <x v="2"/>
    <s v="Pasteurized"/>
    <x v="1"/>
    <s v="Chèvre Noir"/>
    <x v="0"/>
    <s v="Qubec"/>
  </r>
  <r>
    <n v="1613"/>
    <s v="QC"/>
    <x v="8"/>
    <x v="1"/>
    <n v="42"/>
    <s v="Mild, slightly fruity"/>
    <s v="Cheddar cheese type, firm but smooth texture"/>
    <x v="0"/>
    <x v="0"/>
    <x v="2"/>
    <s v="Pasteurized"/>
    <x v="1"/>
    <s v="Chevrino"/>
    <x v="0"/>
    <s v="Qubec"/>
  </r>
  <r>
    <n v="1614"/>
    <s v="QC"/>
    <x v="8"/>
    <x v="1"/>
    <n v="62"/>
    <s v=""/>
    <s v="Soft and smooth paste, unripened"/>
    <x v="0"/>
    <x v="3"/>
    <x v="2"/>
    <s v="Pasteurized"/>
    <x v="3"/>
    <s v="Chèvre doux"/>
    <x v="0"/>
    <s v="Qubec"/>
  </r>
  <r>
    <n v="1615"/>
    <s v="QC"/>
    <x v="8"/>
    <x v="1"/>
    <n v="43"/>
    <s v="Sharp, goat flavour Available : plain (crottin type) or marinated in oil"/>
    <s v="Unripened, natural rind"/>
    <x v="0"/>
    <x v="1"/>
    <x v="2"/>
    <s v="Pasteurized"/>
    <x v="3"/>
    <s v="Capriati"/>
    <x v="0"/>
    <s v="Qubec"/>
  </r>
  <r>
    <n v="1616"/>
    <s v="QC"/>
    <x v="8"/>
    <x v="1"/>
    <n v="58"/>
    <s v="Slightly acidulous (varieties available: plain, herb, pepper)"/>
    <s v="Crumbly cheese when cold and smooth at room temperature"/>
    <x v="0"/>
    <x v="3"/>
    <x v="2"/>
    <s v="Pasteurized"/>
    <x v="3"/>
    <s v="Biquet (Le)"/>
    <x v="0"/>
    <s v="Qubec"/>
  </r>
  <r>
    <n v="1617"/>
    <s v="QC"/>
    <x v="8"/>
    <x v="1"/>
    <n v="52"/>
    <s v="Mild, slightly acidulous"/>
    <s v="Crumbly and light texture when young, becomes runny with age"/>
    <x v="0"/>
    <x v="4"/>
    <x v="2"/>
    <s v="Pasteurized"/>
    <x v="2"/>
    <s v="Chèvre fin"/>
    <x v="0"/>
    <s v="Qubec"/>
  </r>
  <r>
    <n v="1618"/>
    <s v="QC"/>
    <x v="8"/>
    <x v="1"/>
    <n v="55"/>
    <s v="Pronounced, mild, acidulous and salty"/>
    <s v="Very tight paste"/>
    <x v="0"/>
    <x v="1"/>
    <x v="2"/>
    <s v="Pasteurized"/>
    <x v="3"/>
    <s v="Feta Tradition"/>
    <x v="0"/>
    <s v="Qubec"/>
  </r>
  <r>
    <n v="1619"/>
    <s v="QC"/>
    <x v="8"/>
    <x v="1"/>
    <n v="58"/>
    <s v="Rich"/>
    <s v="Crumbly when cold but smooth and creamy at room temperature, soft and unripened"/>
    <x v="0"/>
    <x v="3"/>
    <x v="2"/>
    <s v="Pasteurized"/>
    <x v="3"/>
    <s v="Médaillon et le Tournevent (Le)"/>
    <x v="0"/>
    <s v="Qubec"/>
  </r>
  <r>
    <n v="1620"/>
    <s v="QC"/>
    <x v="8"/>
    <x v="2"/>
    <n v="63"/>
    <s v="Mild and melting in the mouth"/>
    <s v="Fresh cheese covered in seasoning"/>
    <x v="0"/>
    <x v="3"/>
    <x v="2"/>
    <s v="Pasteurized"/>
    <x v="3"/>
    <s v="Bouchées d'amour"/>
    <x v="0"/>
    <s v="Qubec"/>
  </r>
  <r>
    <n v="1621"/>
    <s v="QC"/>
    <x v="8"/>
    <x v="2"/>
    <n v="65"/>
    <s v="Mild and salty"/>
    <s v="Feta cheese"/>
    <x v="0"/>
    <x v="1"/>
    <x v="2"/>
    <s v="Pasteurized"/>
    <x v="3"/>
    <s v="Fleur de Neige"/>
    <x v="0"/>
    <s v="Qubec"/>
  </r>
  <r>
    <n v="1622"/>
    <s v="QC"/>
    <x v="8"/>
    <x v="2"/>
    <n v="40"/>
    <s v="Mild"/>
    <s v="Smooth and moist cheese. Cheddar type cheese"/>
    <x v="0"/>
    <x v="0"/>
    <x v="2"/>
    <s v="Pasteurized"/>
    <x v="3"/>
    <s v="Samuel et Jérémie"/>
    <x v="0"/>
    <s v="Qubec"/>
  </r>
  <r>
    <n v="1623"/>
    <s v="QC"/>
    <x v="8"/>
    <x v="2"/>
    <n v="40"/>
    <s v="Mild to sharp, depending on age"/>
    <s v="Cheese covered in wax, making it ripen slowly internally"/>
    <x v="0"/>
    <x v="0"/>
    <x v="2"/>
    <s v="Pasteurized"/>
    <x v="1"/>
    <s v="Sieur Colomban"/>
    <x v="0"/>
    <s v="Qubec"/>
  </r>
  <r>
    <n v="1624"/>
    <s v="QC"/>
    <x v="8"/>
    <x v="2"/>
    <n v="41"/>
    <s v="Mild, slight taste of hazelnut, cream and salted butter"/>
    <s v="Creamy"/>
    <x v="0"/>
    <x v="1"/>
    <x v="2"/>
    <s v="Pasteurized"/>
    <x v="0"/>
    <s v="Pré des Mille-Îles (Le)"/>
    <x v="0"/>
    <s v="Qubec"/>
  </r>
  <r>
    <n v="1625"/>
    <s v="QC"/>
    <x v="8"/>
    <x v="2"/>
    <n v="43"/>
    <s v="Nutty and buttery"/>
    <s v="Cheese with small eyes (holes), washed rind"/>
    <x v="0"/>
    <x v="1"/>
    <x v="2"/>
    <s v="Raw Milk"/>
    <x v="0"/>
    <s v="Tour St-François (La)"/>
    <x v="0"/>
    <s v="Qubec"/>
  </r>
  <r>
    <n v="1626"/>
    <s v="QC"/>
    <x v="8"/>
    <x v="2"/>
    <n v="43"/>
    <s v="Mild and creamy"/>
    <s v="Dried cheese slightly ripened, curd style, slightly brittle in texture"/>
    <x v="0"/>
    <x v="1"/>
    <x v="2"/>
    <s v="Pasteurized"/>
    <x v="3"/>
    <s v="Ti-Lou"/>
    <x v="0"/>
    <s v="Qubec"/>
  </r>
  <r>
    <n v="1627"/>
    <s v="QC"/>
    <x v="8"/>
    <x v="2"/>
    <n v="63"/>
    <s v="Mild, fresh, very delicate goat flavour"/>
    <s v="Creamy, non ripened"/>
    <x v="0"/>
    <x v="3"/>
    <x v="2"/>
    <s v="Pasteurized"/>
    <x v="3"/>
    <s v="Petit Prince (Le)"/>
    <x v="0"/>
    <s v="Qubec"/>
  </r>
  <r>
    <n v="1628"/>
    <s v="QC"/>
    <x v="8"/>
    <x v="2"/>
    <n v="57"/>
    <s v="Mild with flavour of fresh mushrooms"/>
    <s v="Bloomy and white rind that gives woody aromas, camembert type, creamy texture"/>
    <x v="0"/>
    <x v="4"/>
    <x v="2"/>
    <s v="Pasteurized"/>
    <x v="2"/>
    <s v="Lavallois (Le)"/>
    <x v="0"/>
    <s v="Qubec"/>
  </r>
  <r>
    <n v="1629"/>
    <s v="QC"/>
    <x v="8"/>
    <x v="2"/>
    <n v="42"/>
    <s v="Light and mild"/>
    <s v="Unripened firm cheese"/>
    <x v="0"/>
    <x v="0"/>
    <x v="1"/>
    <s v="Pasteurized"/>
    <x v="3"/>
    <s v="Fleurs d'Ail"/>
    <x v="0"/>
    <s v="Qubec"/>
  </r>
  <r>
    <n v="1630"/>
    <s v="QC"/>
    <x v="8"/>
    <x v="2"/>
    <n v="39"/>
    <s v=""/>
    <s v="Cheese curds or blocks"/>
    <x v="0"/>
    <x v="0"/>
    <x v="1"/>
    <s v="Pasteurized"/>
    <x v="3"/>
    <s v="Cheddar frais Le Fromage au Village"/>
    <x v="1"/>
    <s v="Qubec"/>
  </r>
  <r>
    <n v="1631"/>
    <s v="QC"/>
    <x v="8"/>
    <x v="2"/>
    <n v="39"/>
    <s v=""/>
    <s v="Ripened cheddar"/>
    <x v="0"/>
    <x v="0"/>
    <x v="0"/>
    <s v="Thermised"/>
    <x v="1"/>
    <s v="Rouet"/>
    <x v="1"/>
    <s v="Qubec"/>
  </r>
  <r>
    <n v="1632"/>
    <s v="QC"/>
    <x v="8"/>
    <x v="2"/>
    <n v="39"/>
    <s v="Mild, lactic and fruity"/>
    <s v="Cheddar type cheese, interior ripened"/>
    <x v="0"/>
    <x v="0"/>
    <x v="1"/>
    <s v="Raw Milk"/>
    <x v="3"/>
    <s v="Cru du Clocher (Le)"/>
    <x v="1"/>
    <s v="Qubec"/>
  </r>
  <r>
    <n v="1633"/>
    <s v="QC"/>
    <x v="8"/>
    <x v="2"/>
    <n v="40"/>
    <s v="Nutty, lactic and fruity accentuated."/>
    <s v="Cheddar type cheese, interior ripened."/>
    <x v="0"/>
    <x v="0"/>
    <x v="1"/>
    <s v="Raw Milk"/>
    <x v="3"/>
    <s v="Cru du Clocher (Réserve 2 ans) (Le)"/>
    <x v="1"/>
    <s v="Qubec"/>
  </r>
  <r>
    <n v="1635"/>
    <s v="QC"/>
    <x v="8"/>
    <x v="0"/>
    <n v="39"/>
    <s v="Hazelnut flavour that intensifies with age"/>
    <s v=""/>
    <x v="1"/>
    <x v="0"/>
    <x v="1"/>
    <s v="Pasteurized"/>
    <x v="3"/>
    <s v="Rapide Arcand (Le)"/>
    <x v="1"/>
    <s v="Qubec"/>
  </r>
  <r>
    <n v="1636"/>
    <s v="QC"/>
    <x v="8"/>
    <x v="0"/>
    <n v="39"/>
    <s v="Hazelnut flavour that intensifies with age"/>
    <s v="Strong cheddar"/>
    <x v="1"/>
    <x v="0"/>
    <x v="1"/>
    <s v="Pasteurized"/>
    <x v="3"/>
    <s v="Chute à Michel (La)"/>
    <x v="1"/>
    <s v="Qubec"/>
  </r>
  <r>
    <n v="1637"/>
    <s v="QC"/>
    <x v="8"/>
    <x v="0"/>
    <n v="39"/>
    <s v="Hazelnut flavour that intensifies with age"/>
    <s v="Extra strong cheddar"/>
    <x v="1"/>
    <x v="0"/>
    <x v="1"/>
    <s v="Pasteurized"/>
    <x v="3"/>
    <s v="Chute à l'Ours (La)"/>
    <x v="1"/>
    <s v="Qubec"/>
  </r>
  <r>
    <n v="1638"/>
    <s v="QC"/>
    <x v="8"/>
    <x v="0"/>
    <n v="39"/>
    <s v="Pronounced hazelnut flavor"/>
    <s v="Extra strong cheddar"/>
    <x v="1"/>
    <x v="0"/>
    <x v="1"/>
    <s v="Pasteurized"/>
    <x v="3"/>
    <s v="Chute Chaudière (La)"/>
    <x v="1"/>
    <s v="Qubec"/>
  </r>
  <r>
    <n v="1639"/>
    <s v="QC"/>
    <x v="8"/>
    <x v="0"/>
    <n v="42"/>
    <s v="Taste of butter with a slight acid touch"/>
    <s v="Ripened, smooth and creamy texture"/>
    <x v="1"/>
    <x v="1"/>
    <x v="1"/>
    <s v="Pasteurized"/>
    <x v="3"/>
    <s v="St-Félicien Lac St-Jean"/>
    <x v="0"/>
    <s v="Qubec"/>
  </r>
  <r>
    <n v="1640"/>
    <s v="QC"/>
    <x v="8"/>
    <x v="1"/>
    <n v="40"/>
    <s v="Light bitter almond and milky taste"/>
    <s v="Interior-ripened, ivory-colored, shows round holes dispersed through  the cheese"/>
    <x v="0"/>
    <x v="0"/>
    <x v="1"/>
    <s v="Pasteurized"/>
    <x v="3"/>
    <s v="Suisse vieilli (Fromagerie St-Fidèle)"/>
    <x v="0"/>
    <s v="Qubec"/>
  </r>
  <r>
    <n v="1641"/>
    <s v="QC"/>
    <x v="8"/>
    <x v="1"/>
    <n v="47.06"/>
    <s v=""/>
    <s v="Interior-ripened"/>
    <x v="0"/>
    <x v="0"/>
    <x v="1"/>
    <s v="Pasteurized"/>
    <x v="3"/>
    <s v="Suisse léger (Fromagerie St-Fidèle)"/>
    <x v="0"/>
    <s v="Qubec"/>
  </r>
  <r>
    <n v="1642"/>
    <s v="QC"/>
    <x v="8"/>
    <x v="1"/>
    <n v="41"/>
    <s v="Hazelnut flavor that intensifies with age"/>
    <s v="Fresh cheese curds or rounds"/>
    <x v="0"/>
    <x v="0"/>
    <x v="1"/>
    <s v="Pasteurized"/>
    <x v="3"/>
    <s v="Cheddar frais (Fromagerie St-Fidèle)"/>
    <x v="1"/>
    <s v="Qubec"/>
  </r>
  <r>
    <n v="1643"/>
    <s v="QC"/>
    <x v="8"/>
    <x v="1"/>
    <n v="41"/>
    <s v="Hazelnut flavor that intensifies with age"/>
    <s v="Creamy-colored"/>
    <x v="0"/>
    <x v="0"/>
    <x v="1"/>
    <s v="Pasteurized"/>
    <x v="3"/>
    <s v="Cheddar doux (Fromagerie St-Fidèle)"/>
    <x v="1"/>
    <s v="Qubec"/>
  </r>
  <r>
    <n v="1644"/>
    <s v="QC"/>
    <x v="8"/>
    <x v="1"/>
    <n v="41"/>
    <s v="Hazelnut flavor that intensifies with age"/>
    <s v="Creamy-colored"/>
    <x v="0"/>
    <x v="0"/>
    <x v="1"/>
    <s v="Pasteurized"/>
    <x v="3"/>
    <s v="Cheddar mi-fort (Fromagerie St-Fidèle)"/>
    <x v="1"/>
    <s v="Qubec"/>
  </r>
  <r>
    <n v="1645"/>
    <s v="QC"/>
    <x v="8"/>
    <x v="1"/>
    <n v="41"/>
    <s v="Hazelnut flavor that intensifies with age"/>
    <s v="Creamy-colored"/>
    <x v="0"/>
    <x v="0"/>
    <x v="1"/>
    <s v="Pasteurized"/>
    <x v="1"/>
    <s v="Cheddar fort (Fromagerie St-Fidèle)"/>
    <x v="1"/>
    <s v="Qubec"/>
  </r>
  <r>
    <n v="1646"/>
    <s v="QC"/>
    <x v="8"/>
    <x v="1"/>
    <n v="41"/>
    <s v="Hazelnut flavour that intensifies with age"/>
    <s v="Creamy-colored"/>
    <x v="0"/>
    <x v="0"/>
    <x v="1"/>
    <s v="Pasteurized"/>
    <x v="3"/>
    <s v="Cheddar très fort (Fromagerie St-Fidèle)"/>
    <x v="1"/>
    <s v="Qubec"/>
  </r>
  <r>
    <n v="1647"/>
    <s v="QC"/>
    <x v="8"/>
    <x v="1"/>
    <n v="40"/>
    <s v="Slightly nutty with a lovely mix of port"/>
    <s v="Ivory coloured cheese in the centre with a crimson colour on the outside created by soaking"/>
    <x v="0"/>
    <x v="0"/>
    <x v="1"/>
    <s v="Pasteurized"/>
    <x v="3"/>
    <s v="Suisse macéré au porto (Fromagerie St-Fidèle)"/>
    <x v="0"/>
    <s v="Qubec"/>
  </r>
  <r>
    <n v="1648"/>
    <s v="QC"/>
    <x v="8"/>
    <x v="1"/>
    <n v="40"/>
    <s v="Slightly nutty taste typical of Suisse St-Fidèle"/>
    <s v="Ivory coloured cheese in centre and an amber colour on the outside created by soaking"/>
    <x v="0"/>
    <x v="0"/>
    <x v="1"/>
    <s v="Pasteurized"/>
    <x v="1"/>
    <s v="Suisse macéré au mistelle"/>
    <x v="0"/>
    <s v="Qubec"/>
  </r>
  <r>
    <n v="1649"/>
    <s v="QC"/>
    <x v="8"/>
    <x v="1"/>
    <n v="40"/>
    <s v="Slightly nutty taste typical of Suisse St-Fidèle, flavoured with apple cider"/>
    <s v=""/>
    <x v="0"/>
    <x v="0"/>
    <x v="1"/>
    <s v="Pasteurized"/>
    <x v="3"/>
    <s v="Suisse macéré au Cidre de pommes"/>
    <x v="0"/>
    <s v="Qubec"/>
  </r>
  <r>
    <n v="1650"/>
    <s v="QC"/>
    <x v="8"/>
    <x v="1"/>
    <n v="40"/>
    <s v="Slight nutty taste and mild almond depending on age"/>
    <s v="Interior ripened"/>
    <x v="0"/>
    <x v="0"/>
    <x v="1"/>
    <s v="Pasteurized"/>
    <x v="3"/>
    <s v="Suisse (Fromagerie St-Fidèle)"/>
    <x v="0"/>
    <s v="Qubec"/>
  </r>
  <r>
    <n v="1651"/>
    <s v="QC"/>
    <x v="8"/>
    <x v="2"/>
    <n v="40"/>
    <s v=""/>
    <s v="Cheddar type cheese, unripened"/>
    <x v="0"/>
    <x v="0"/>
    <x v="1"/>
    <s v="Pasteurized"/>
    <x v="3"/>
    <s v="Cheddar Jocoeur"/>
    <x v="0"/>
    <s v="Qubec"/>
  </r>
  <r>
    <n v="1652"/>
    <s v="QC"/>
    <x v="8"/>
    <x v="2"/>
    <n v="41"/>
    <s v="Delicate, milk taste, with slightly acidulous accents"/>
    <s v="The interior presents small holes."/>
    <x v="0"/>
    <x v="1"/>
    <x v="1"/>
    <s v="Pasteurized"/>
    <x v="0"/>
    <s v="Fredondaine"/>
    <x v="0"/>
    <s v="Qubec"/>
  </r>
  <r>
    <n v="1653"/>
    <s v="QC"/>
    <x v="8"/>
    <x v="2"/>
    <n v="46"/>
    <s v=""/>
    <s v="Gray and dry rind that has a mushroom aroma. Ivory colored cheese, supple and showing small holes inside"/>
    <x v="0"/>
    <x v="1"/>
    <x v="1"/>
    <s v="Raw Milk"/>
    <x v="0"/>
    <s v="Farandole"/>
    <x v="0"/>
    <s v="Qubec"/>
  </r>
  <r>
    <n v="1654"/>
    <s v="QC"/>
    <x v="8"/>
    <x v="2"/>
    <n v="40"/>
    <s v="Delicate nutty taste"/>
    <s v="Natural rind, light grey colour"/>
    <x v="0"/>
    <x v="0"/>
    <x v="1"/>
    <s v="Pasteurized"/>
    <x v="1"/>
    <s v="Sonatine"/>
    <x v="0"/>
    <s v="Qubec"/>
  </r>
  <r>
    <n v="1655"/>
    <s v="QC"/>
    <x v="8"/>
    <x v="2"/>
    <n v="40"/>
    <s v="Subtle delicate flavor, slightly nutty"/>
    <s v="Firm, surface ripened cheese"/>
    <x v="0"/>
    <x v="0"/>
    <x v="0"/>
    <s v="Thermised"/>
    <x v="1"/>
    <s v="Allegretto"/>
    <x v="0"/>
    <s v="Qubec"/>
  </r>
  <r>
    <n v="1656"/>
    <s v="QC"/>
    <x v="8"/>
    <x v="0"/>
    <n v="65"/>
    <s v="Mild (Available Varieties: herbs, chive, garlic, pepper)"/>
    <s v="Smooth cheese"/>
    <x v="0"/>
    <x v="3"/>
    <x v="2"/>
    <s v="Pasteurized"/>
    <x v="3"/>
    <s v="Blanchon (Le)"/>
    <x v="0"/>
    <s v="Qubec"/>
  </r>
  <r>
    <n v="1657"/>
    <s v="QC"/>
    <x v="8"/>
    <x v="0"/>
    <n v="45"/>
    <s v="Mushroomy and milky taste"/>
    <s v="Soft white and chalky cheese"/>
    <x v="0"/>
    <x v="4"/>
    <x v="2"/>
    <s v="Pasteurized"/>
    <x v="2"/>
    <s v="P'tit Diable"/>
    <x v="0"/>
    <s v="Qubec"/>
  </r>
  <r>
    <n v="1658"/>
    <s v="QC"/>
    <x v="8"/>
    <x v="0"/>
    <n v="60"/>
    <s v="Slightly goat, ash and fruit flavour"/>
    <s v="Soft white and chalky cheese, ashen"/>
    <x v="0"/>
    <x v="4"/>
    <x v="2"/>
    <s v="Pasteurized"/>
    <x v="2"/>
    <s v="Saint-Isidore à croûte cendrée"/>
    <x v="0"/>
    <s v="Qubec"/>
  </r>
  <r>
    <n v="1659"/>
    <s v="QC"/>
    <x v="8"/>
    <x v="0"/>
    <n v="68"/>
    <s v="Delicate, mild goat flavour"/>
    <s v="Creamy"/>
    <x v="0"/>
    <x v="3"/>
    <x v="2"/>
    <s v="Pasteurized"/>
    <x v="3"/>
    <s v="Pampille"/>
    <x v="0"/>
    <s v="Qubec"/>
  </r>
  <r>
    <n v="1660"/>
    <s v="QC"/>
    <x v="8"/>
    <x v="0"/>
    <n v="60"/>
    <s v="Mild and long lasting flavour"/>
    <s v="Creamy and melst in your mouth cheese, bloomy rind"/>
    <x v="0"/>
    <x v="4"/>
    <x v="2"/>
    <s v="Pasteurized"/>
    <x v="2"/>
    <s v="P'tite Chevrette"/>
    <x v="0"/>
    <s v="Qubec"/>
  </r>
  <r>
    <n v="1661"/>
    <s v="QC"/>
    <x v="8"/>
    <x v="0"/>
    <n v="56"/>
    <s v="Mushroomy and milky flavor"/>
    <s v="Rind unctuous to runny when aged"/>
    <x v="0"/>
    <x v="4"/>
    <x v="2"/>
    <s v="Pasteurized"/>
    <x v="2"/>
    <s v="Saint-Isidore à croûte fleurie"/>
    <x v="0"/>
    <s v="Qubec"/>
  </r>
  <r>
    <n v="1662"/>
    <s v="QC"/>
    <x v="8"/>
    <x v="0"/>
    <n v="48"/>
    <s v="Plain, with peppers and rosemary"/>
    <s v="Cooked"/>
    <x v="0"/>
    <x v="1"/>
    <x v="2"/>
    <s v="Raw Milk"/>
    <x v="3"/>
    <s v="Chèvre d'Or"/>
    <x v="0"/>
    <s v="Qubec"/>
  </r>
  <r>
    <n v="1663"/>
    <s v="QC"/>
    <x v="8"/>
    <x v="0"/>
    <n v="35"/>
    <s v="Sharp"/>
    <s v="Unpressed, uncooked"/>
    <x v="0"/>
    <x v="1"/>
    <x v="2"/>
    <s v="Pasteurized"/>
    <x v="3"/>
    <s v="Bouton de Culotte (Le)"/>
    <x v="0"/>
    <s v="Qubec"/>
  </r>
  <r>
    <n v="1666"/>
    <s v="QC"/>
    <x v="8"/>
    <x v="0"/>
    <n v="12"/>
    <s v=""/>
    <s v="Pressed and cooked"/>
    <x v="0"/>
    <x v="5"/>
    <x v="2"/>
    <s v="Pasteurized"/>
    <x v="3"/>
    <s v="Parmesan Chèvrerie Dion"/>
    <x v="1"/>
    <s v="Qubec"/>
  </r>
  <r>
    <n v="1667"/>
    <s v="QC"/>
    <x v="8"/>
    <x v="0"/>
    <n v="74"/>
    <s v="Varieties available: plain, garlic, chives, pepper, herb."/>
    <s v=""/>
    <x v="0"/>
    <x v="3"/>
    <x v="2"/>
    <s v="Pasteurized"/>
    <x v="3"/>
    <s v="Délice"/>
    <x v="0"/>
    <s v="Qubec"/>
  </r>
  <r>
    <n v="1669"/>
    <s v="QC"/>
    <x v="8"/>
    <x v="0"/>
    <n v="59"/>
    <s v="Salty"/>
    <s v=""/>
    <x v="0"/>
    <x v="1"/>
    <x v="2"/>
    <s v="Pasteurized"/>
    <x v="3"/>
    <s v="P'tit féta"/>
    <x v="0"/>
    <s v="Qubec"/>
  </r>
  <r>
    <n v="1670"/>
    <s v="QC"/>
    <x v="8"/>
    <x v="0"/>
    <n v="46"/>
    <s v="Available; mild, medium and strong"/>
    <s v="Cheddar type"/>
    <x v="0"/>
    <x v="0"/>
    <x v="2"/>
    <s v="Pasteurized"/>
    <x v="3"/>
    <s v="Montbeil (Le)"/>
    <x v="0"/>
    <s v="Qubec"/>
  </r>
  <r>
    <n v="1671"/>
    <s v="QC"/>
    <x v="8"/>
    <x v="0"/>
    <n v="70"/>
    <s v="Mild"/>
    <s v="White and creamy"/>
    <x v="0"/>
    <x v="3"/>
    <x v="2"/>
    <s v="Pasteurized"/>
    <x v="3"/>
    <s v="Roulé (Le)"/>
    <x v="0"/>
    <s v="Qubec"/>
  </r>
  <r>
    <n v="1672"/>
    <s v="QC"/>
    <x v="8"/>
    <x v="0"/>
    <n v="35"/>
    <s v="Mild and lactic (varieties available: herb, nut, spiced, pepper"/>
    <s v="Hint of cream"/>
    <x v="0"/>
    <x v="4"/>
    <x v="2"/>
    <s v="Pasteurized"/>
    <x v="3"/>
    <s v="Montefino assaisonné"/>
    <x v="0"/>
    <s v="Qubec"/>
  </r>
  <r>
    <n v="1673"/>
    <s v="QC"/>
    <x v="8"/>
    <x v="0"/>
    <n v="65"/>
    <s v="Mild"/>
    <s v="Creamy"/>
    <x v="0"/>
    <x v="4"/>
    <x v="2"/>
    <s v="Pasteurized"/>
    <x v="3"/>
    <s v="Montefino frais"/>
    <x v="0"/>
    <s v="Qubec"/>
  </r>
  <r>
    <n v="1674"/>
    <s v="QC"/>
    <x v="8"/>
    <x v="0"/>
    <n v="35"/>
    <s v="Sharp"/>
    <s v=""/>
    <x v="0"/>
    <x v="1"/>
    <x v="2"/>
    <s v="Pasteurized"/>
    <x v="3"/>
    <s v="Montefino affinée"/>
    <x v="0"/>
    <s v="Qubec"/>
  </r>
  <r>
    <n v="1675"/>
    <s v="QC"/>
    <x v="8"/>
    <x v="0"/>
    <n v="65"/>
    <s v=""/>
    <s v="Lightly pressed"/>
    <x v="0"/>
    <x v="1"/>
    <x v="2"/>
    <s v="Pasteurized"/>
    <x v="3"/>
    <s v="Feta Diodati"/>
    <x v="0"/>
    <s v="Qubec"/>
  </r>
  <r>
    <n v="1676"/>
    <s v="QC"/>
    <x v="8"/>
    <x v="2"/>
    <n v="44"/>
    <s v="Mild"/>
    <s v="Moist, bloomy rind"/>
    <x v="0"/>
    <x v="4"/>
    <x v="1"/>
    <s v="Raw Milk"/>
    <x v="2"/>
    <s v="Caprice des Saisons"/>
    <x v="1"/>
    <s v="Qubec"/>
  </r>
  <r>
    <n v="1677"/>
    <s v="QC"/>
    <x v="8"/>
    <x v="2"/>
    <n v="44"/>
    <s v="Mild"/>
    <s v="Smooth, washed rind"/>
    <x v="0"/>
    <x v="4"/>
    <x v="1"/>
    <s v="Raw Milk"/>
    <x v="0"/>
    <s v="Caprice des Cantons"/>
    <x v="0"/>
    <s v="Qubec"/>
  </r>
  <r>
    <n v="1699"/>
    <s v="QC"/>
    <x v="8"/>
    <x v="1"/>
    <n v="39"/>
    <s v="Available fine herbs, hot pepper or seasoned peppers"/>
    <s v="Seasoned or plain curds or block, daily fresh. Slight bitter almond and milk aroma"/>
    <x v="0"/>
    <x v="0"/>
    <x v="1"/>
    <s v="Pasteurized"/>
    <x v="3"/>
    <s v="Cheddar Charlevoix"/>
    <x v="1"/>
    <s v="Qubec"/>
  </r>
  <r>
    <n v="1700"/>
    <s v="QC"/>
    <x v="8"/>
    <x v="1"/>
    <n v="39"/>
    <s v="Hazelnut flavour that intensifies with age.  Available; mild, medium, strong and extra strong"/>
    <s v="Aged cheddar, smooth and crumbly texture, cream-colored"/>
    <x v="0"/>
    <x v="0"/>
    <x v="1"/>
    <s v="Raw Milk"/>
    <x v="3"/>
    <s v="Vieux Charlevoix"/>
    <x v="1"/>
    <s v="Qubec"/>
  </r>
  <r>
    <n v="1704"/>
    <s v="QC"/>
    <x v="8"/>
    <x v="1"/>
    <n v="35"/>
    <s v="Taste evolving without bitterness"/>
    <s v="Pressed and cooked, interior-ripened, dark yellow color, hard and crumbly texture, melts in mouth"/>
    <x v="0"/>
    <x v="0"/>
    <x v="1"/>
    <s v="Raw Milk"/>
    <x v="1"/>
    <s v="Hercule de Charlevoix (L')"/>
    <x v="1"/>
    <s v="Qubec"/>
  </r>
  <r>
    <n v="1705"/>
    <s v="QC"/>
    <x v="8"/>
    <x v="1"/>
    <n v="42"/>
    <s v="Hazelnut"/>
    <s v=""/>
    <x v="0"/>
    <x v="0"/>
    <x v="1"/>
    <s v="Thermised"/>
    <x v="0"/>
    <s v="1608 (Le)"/>
    <x v="1"/>
    <s v="Qubec"/>
  </r>
  <r>
    <n v="1706"/>
    <s v="QC"/>
    <x v="8"/>
    <x v="1"/>
    <n v="54"/>
    <s v="Mild, fruity and hazelnut, without a harsh aftertaste"/>
    <s v="Creamy, rich and velvety texture"/>
    <x v="0"/>
    <x v="4"/>
    <x v="1"/>
    <s v="Pasteurized"/>
    <x v="2"/>
    <s v="Fleurmier de Charlevoix (Le)"/>
    <x v="0"/>
    <s v="Qubec"/>
  </r>
  <r>
    <n v="1707"/>
    <s v="QC"/>
    <x v="8"/>
    <x v="2"/>
    <n v="50"/>
    <s v="Almond taste"/>
    <s v=""/>
    <x v="0"/>
    <x v="4"/>
    <x v="1"/>
    <s v="Pasteurized"/>
    <x v="2"/>
    <s v="Noble (Le)"/>
    <x v="0"/>
    <s v="Qubec"/>
  </r>
  <r>
    <n v="1708"/>
    <s v="QC"/>
    <x v="8"/>
    <x v="2"/>
    <n v="50"/>
    <s v="Mushroom and butter aroma."/>
    <s v="Creamy texture, soil aroma"/>
    <x v="0"/>
    <x v="1"/>
    <x v="1"/>
    <s v="Raw Milk"/>
    <x v="2"/>
    <s v="Prés de la Bayonne (Les)"/>
    <x v="0"/>
    <s v="Qubec"/>
  </r>
  <r>
    <n v="1709"/>
    <s v="QC"/>
    <x v="8"/>
    <x v="2"/>
    <n v="50"/>
    <s v="Strong taste with a long finish without bitterness."/>
    <s v="Pressed, fresh milk and fruity aroma"/>
    <x v="0"/>
    <x v="1"/>
    <x v="1"/>
    <s v="Raw Milk"/>
    <x v="0"/>
    <s v="Pré-Cieux (Le)"/>
    <x v="0"/>
    <s v="Qubec"/>
  </r>
  <r>
    <n v="1710"/>
    <s v="QC"/>
    <x v="8"/>
    <x v="2"/>
    <n v="55"/>
    <s v="Varieties available: plain, sunflower oil and herbs."/>
    <s v=""/>
    <x v="0"/>
    <x v="3"/>
    <x v="1"/>
    <s v="Pasteurized"/>
    <x v="3"/>
    <s v="Féta du Domaine"/>
    <x v="0"/>
    <s v="Qubec"/>
  </r>
  <r>
    <n v="1711"/>
    <s v="QC"/>
    <x v="8"/>
    <x v="2"/>
    <n v="50"/>
    <s v="Mild"/>
    <s v="Creamy. Made from Ayrshire milk cow."/>
    <x v="0"/>
    <x v="4"/>
    <x v="1"/>
    <s v="Raw Milk"/>
    <x v="2"/>
    <s v="Cendré des Prés (Le)"/>
    <x v="0"/>
    <s v="Qubec"/>
  </r>
  <r>
    <n v="1712"/>
    <s v="QC"/>
    <x v="8"/>
    <x v="1"/>
    <n v="57"/>
    <s v="Mild"/>
    <s v="White cheese, moist texture"/>
    <x v="0"/>
    <x v="4"/>
    <x v="1"/>
    <s v="Pasteurized"/>
    <x v="3"/>
    <s v="Akawi"/>
    <x v="0"/>
    <s v="Qubec"/>
  </r>
  <r>
    <n v="1713"/>
    <s v="QC"/>
    <x v="8"/>
    <x v="1"/>
    <n v="57"/>
    <s v="Mild and salty with a light buttery flavor"/>
    <s v="White and humid cheese with a flexible texture"/>
    <x v="0"/>
    <x v="4"/>
    <x v="1"/>
    <s v="Pasteurized"/>
    <x v="3"/>
    <s v="Baladi (Fromagerie Marie Kadé)"/>
    <x v="0"/>
    <s v="Qubec"/>
  </r>
  <r>
    <n v="1714"/>
    <s v="QC"/>
    <x v="8"/>
    <x v="1"/>
    <n v="60"/>
    <s v=""/>
    <s v=""/>
    <x v="0"/>
    <x v="4"/>
    <x v="1"/>
    <s v="Pasteurized"/>
    <x v="1"/>
    <s v="Espagnole"/>
    <x v="0"/>
    <s v="Qubec"/>
  </r>
  <r>
    <n v="1715"/>
    <s v="QC"/>
    <x v="8"/>
    <x v="1"/>
    <n v="50"/>
    <s v=""/>
    <s v=""/>
    <x v="0"/>
    <x v="1"/>
    <x v="1"/>
    <s v="Pasteurized"/>
    <x v="1"/>
    <s v="Kobrossi"/>
    <x v="0"/>
    <s v="Qubec"/>
  </r>
  <r>
    <n v="1716"/>
    <s v="QC"/>
    <x v="8"/>
    <x v="1"/>
    <n v="50"/>
    <s v="Mild and lactic"/>
    <s v="Fresh thick white cheese"/>
    <x v="0"/>
    <x v="3"/>
    <x v="1"/>
    <s v="Pasteurized"/>
    <x v="3"/>
    <s v="Labneh"/>
    <x v="0"/>
    <s v="Qubec"/>
  </r>
  <r>
    <n v="1717"/>
    <s v="QC"/>
    <x v="8"/>
    <x v="1"/>
    <n v="50"/>
    <s v=""/>
    <s v="Preserved in vegetable oil"/>
    <x v="0"/>
    <x v="3"/>
    <x v="1"/>
    <s v="Pasteurized"/>
    <x v="3"/>
    <s v="Labneh dans l'huile"/>
    <x v="0"/>
    <s v="Qubec"/>
  </r>
  <r>
    <n v="1718"/>
    <s v="QC"/>
    <x v="8"/>
    <x v="1"/>
    <n v="52"/>
    <s v="Fresh and salty taste, lactic flavor that develops itself through ripening"/>
    <s v="Feta-like cheese"/>
    <x v="0"/>
    <x v="4"/>
    <x v="1"/>
    <s v="Pasteurized"/>
    <x v="3"/>
    <s v="Domiati"/>
    <x v="0"/>
    <s v="Qubec"/>
  </r>
  <r>
    <n v="1720"/>
    <s v="QC"/>
    <x v="8"/>
    <x v="1"/>
    <n v="50"/>
    <s v="Mild and salty"/>
    <s v="Stretched and coiled up in a knot"/>
    <x v="0"/>
    <x v="0"/>
    <x v="1"/>
    <s v="Pasteurized"/>
    <x v="3"/>
    <s v="Moujadalé"/>
    <x v="0"/>
    <s v="Qubec"/>
  </r>
  <r>
    <n v="1721"/>
    <s v="QC"/>
    <x v="8"/>
    <x v="1"/>
    <n v="50"/>
    <s v="Mild and salty with a slight nigella taste"/>
    <s v="White cheese, elastic and crumbly texture"/>
    <x v="0"/>
    <x v="1"/>
    <x v="1"/>
    <s v="Pasteurized"/>
    <x v="3"/>
    <s v="Nabulsi (Fromagerie Marie Kadé)"/>
    <x v="0"/>
    <s v="Qubec"/>
  </r>
  <r>
    <n v="1722"/>
    <s v="QC"/>
    <x v="8"/>
    <x v="1"/>
    <n v="50"/>
    <s v="Mild and salty"/>
    <s v="White, crumbly and elastic"/>
    <x v="0"/>
    <x v="1"/>
    <x v="1"/>
    <s v="Pasteurized"/>
    <x v="3"/>
    <s v="Syrean"/>
    <x v="0"/>
    <s v="Qubec"/>
  </r>
  <r>
    <n v="1723"/>
    <s v="QC"/>
    <x v="8"/>
    <x v="1"/>
    <n v="50"/>
    <s v="Fresh, salty with nigella hints"/>
    <s v="Smooth texture, preserved in brine"/>
    <x v="0"/>
    <x v="0"/>
    <x v="1"/>
    <s v="Pasteurized"/>
    <x v="3"/>
    <s v="Tressé (Fromagerie Marie Kadé)"/>
    <x v="0"/>
    <s v="Qubec"/>
  </r>
  <r>
    <n v="1725"/>
    <s v="QC"/>
    <x v="8"/>
    <x v="1"/>
    <n v="50"/>
    <s v="Mild"/>
    <s v="White interior folded like a book"/>
    <x v="0"/>
    <x v="1"/>
    <x v="1"/>
    <s v="Pasteurized"/>
    <x v="3"/>
    <s v="Halloom"/>
    <x v="0"/>
    <s v="Qubec"/>
  </r>
  <r>
    <n v="1726"/>
    <s v="QC"/>
    <x v="8"/>
    <x v="1"/>
    <n v="52"/>
    <s v="Mild to pungent, slightly salty"/>
    <s v="No rind, crumbly"/>
    <x v="0"/>
    <x v="1"/>
    <x v="1"/>
    <s v="Pasteurized"/>
    <x v="3"/>
    <s v="Istambouli"/>
    <x v="0"/>
    <s v="Qubec"/>
  </r>
  <r>
    <n v="1727"/>
    <s v="QC"/>
    <x v="8"/>
    <x v="1"/>
    <n v="38"/>
    <s v="Varies according to seasoning"/>
    <s v=""/>
    <x v="0"/>
    <x v="0"/>
    <x v="1"/>
    <s v="Pasteurized"/>
    <x v="3"/>
    <s v="Shinglish"/>
    <x v="0"/>
    <s v="Qubec"/>
  </r>
  <r>
    <n v="1728"/>
    <s v="QC"/>
    <x v="8"/>
    <x v="2"/>
    <n v="65"/>
    <s v="Available in 4 different flavors : plain, chives, spices or chocolate"/>
    <s v="Spreadable goat's cheese"/>
    <x v="0"/>
    <x v="3"/>
    <x v="2"/>
    <s v="Pasteurized"/>
    <x v="3"/>
    <s v="Sainte-Rose"/>
    <x v="0"/>
    <s v="Qubec"/>
  </r>
  <r>
    <n v="1729"/>
    <s v="QC"/>
    <x v="8"/>
    <x v="2"/>
    <n v="55"/>
    <s v="Fresh"/>
    <s v="Fresh cheddar, curds or blocks"/>
    <x v="0"/>
    <x v="1"/>
    <x v="2"/>
    <s v="Pasteurized"/>
    <x v="3"/>
    <s v="Petit Heidi du Saguenay"/>
    <x v="0"/>
    <s v="Qubec"/>
  </r>
  <r>
    <n v="1730"/>
    <s v="QC"/>
    <x v="8"/>
    <x v="2"/>
    <n v="55"/>
    <s v="Mild"/>
    <s v=""/>
    <x v="0"/>
    <x v="1"/>
    <x v="2"/>
    <s v="Pasteurized"/>
    <x v="0"/>
    <s v="Rosé du Saguenay"/>
    <x v="0"/>
    <s v="Qubec"/>
  </r>
  <r>
    <n v="1731"/>
    <s v="QC"/>
    <x v="8"/>
    <x v="2"/>
    <n v="50"/>
    <s v="Mild"/>
    <s v=""/>
    <x v="0"/>
    <x v="1"/>
    <x v="2"/>
    <s v="Pasteurized"/>
    <x v="0"/>
    <s v="Sainte-Rose lavé au vin"/>
    <x v="0"/>
    <s v="Qubec"/>
  </r>
  <r>
    <n v="1732"/>
    <s v="QC"/>
    <x v="8"/>
    <x v="2"/>
    <n v="43"/>
    <s v="Mild"/>
    <s v=""/>
    <x v="0"/>
    <x v="1"/>
    <x v="2"/>
    <s v="Raw Milk"/>
    <x v="0"/>
    <s v="Tomme des Joyeux Fromagers (La)"/>
    <x v="0"/>
    <s v="Qubec"/>
  </r>
  <r>
    <n v="1733"/>
    <s v="QC"/>
    <x v="8"/>
    <x v="1"/>
    <n v="39"/>
    <s v=""/>
    <s v="Cheese curds or blocks. Daily fresh."/>
    <x v="0"/>
    <x v="0"/>
    <x v="1"/>
    <s v="Pasteurized"/>
    <x v="3"/>
    <s v="Cheddar frais (Fromagerie Saint-Laurent)"/>
    <x v="1"/>
    <s v="Qubec"/>
  </r>
  <r>
    <n v="1734"/>
    <s v="QC"/>
    <x v="8"/>
    <x v="1"/>
    <n v="39"/>
    <s v="Hazelnut flavor that intensifies with age"/>
    <s v="Yellow and white"/>
    <x v="0"/>
    <x v="0"/>
    <x v="1"/>
    <s v="Pasteurized"/>
    <x v="3"/>
    <s v="Cheddar doux (Fromagerie Saint-Laurent)"/>
    <x v="1"/>
    <s v="Qubec"/>
  </r>
  <r>
    <n v="1735"/>
    <s v="QC"/>
    <x v="8"/>
    <x v="1"/>
    <n v="39"/>
    <s v="Hazelnut flavour more pronounced than mild cheddar."/>
    <s v=""/>
    <x v="0"/>
    <x v="0"/>
    <x v="1"/>
    <s v="Pasteurized"/>
    <x v="3"/>
    <s v="Cheddar moyen (Fromagerie Saint-Laurent)"/>
    <x v="1"/>
    <s v="Qubec"/>
  </r>
  <r>
    <n v="1736"/>
    <s v="QC"/>
    <x v="8"/>
    <x v="1"/>
    <n v="39"/>
    <s v="More pronounced hazelnut flavor than younger cheddars"/>
    <s v="Aged cheddar"/>
    <x v="0"/>
    <x v="0"/>
    <x v="1"/>
    <s v="Pasteurized"/>
    <x v="3"/>
    <s v="Cheddar fort (Fromagerie Saint-Laurent)"/>
    <x v="1"/>
    <s v="Qubec"/>
  </r>
  <r>
    <n v="1737"/>
    <s v="QC"/>
    <x v="8"/>
    <x v="1"/>
    <n v="39"/>
    <s v="Fine herbs"/>
    <s v=""/>
    <x v="0"/>
    <x v="0"/>
    <x v="1"/>
    <s v="Pasteurized"/>
    <x v="3"/>
    <s v="Cheddar aux fines herbes (Fromagerie Saint-Laurent)"/>
    <x v="1"/>
    <s v="Qubec"/>
  </r>
  <r>
    <n v="1738"/>
    <s v="QC"/>
    <x v="8"/>
    <x v="1"/>
    <n v="45"/>
    <s v="Salty"/>
    <s v="In brine"/>
    <x v="0"/>
    <x v="0"/>
    <x v="1"/>
    <s v="Pasteurized"/>
    <x v="3"/>
    <s v="Tortillons (Fromagerie Saint-Laurent)"/>
    <x v="0"/>
    <s v="Qubec"/>
  </r>
  <r>
    <n v="1739"/>
    <s v="QC"/>
    <x v="8"/>
    <x v="1"/>
    <n v="40"/>
    <s v="Lighter taste than cheddar"/>
    <s v=""/>
    <x v="0"/>
    <x v="0"/>
    <x v="1"/>
    <s v="Pasteurized"/>
    <x v="3"/>
    <s v="Brick (Fromagerie Saint-Laurent)"/>
    <x v="0"/>
    <s v="Qubec"/>
  </r>
  <r>
    <n v="1740"/>
    <s v="QC"/>
    <x v="8"/>
    <x v="1"/>
    <n v="45"/>
    <s v="Hint of porto"/>
    <s v=""/>
    <x v="0"/>
    <x v="0"/>
    <x v="1"/>
    <s v="Pasteurized"/>
    <x v="3"/>
    <s v="Cheddar au Porto (Fromagerie Saint-Laurent)"/>
    <x v="1"/>
    <s v="Qubec"/>
  </r>
  <r>
    <n v="1741"/>
    <s v="QC"/>
    <x v="8"/>
    <x v="1"/>
    <n v="35"/>
    <s v="Sharp"/>
    <s v="Pressed and cooked"/>
    <x v="0"/>
    <x v="5"/>
    <x v="1"/>
    <s v="Pasteurized"/>
    <x v="1"/>
    <s v="Parmesan (Fromagerie Saint-Laurent)"/>
    <x v="0"/>
    <s v="Qubec"/>
  </r>
  <r>
    <n v="1742"/>
    <s v="QC"/>
    <x v="8"/>
    <x v="1"/>
    <n v="45"/>
    <s v="Mild flavor of cream, almond and hazelnut"/>
    <s v="Rind in red wax"/>
    <x v="0"/>
    <x v="0"/>
    <x v="1"/>
    <s v="Pasteurized"/>
    <x v="1"/>
    <s v="Gouda (Fromagerie Saint-Laurent)"/>
    <x v="0"/>
    <s v="Qubec"/>
  </r>
  <r>
    <n v="1743"/>
    <s v="QC"/>
    <x v="8"/>
    <x v="1"/>
    <n v="45"/>
    <s v="Mild"/>
    <s v="Cheese with irregular holes"/>
    <x v="0"/>
    <x v="0"/>
    <x v="1"/>
    <s v="Pasteurized"/>
    <x v="1"/>
    <s v="Suisse (Fromagerie Saint-Laurent)"/>
    <x v="1"/>
    <s v="Qubec"/>
  </r>
  <r>
    <n v="1744"/>
    <s v="QC"/>
    <x v="8"/>
    <x v="1"/>
    <n v="42"/>
    <s v=""/>
    <s v="Cheese curds or blocks"/>
    <x v="0"/>
    <x v="0"/>
    <x v="1"/>
    <s v="Pasteurized"/>
    <x v="3"/>
    <s v="Cheddar frais (Fromagerie des Basques)"/>
    <x v="0"/>
    <s v="Qubec"/>
  </r>
  <r>
    <n v="1745"/>
    <s v="QC"/>
    <x v="8"/>
    <x v="1"/>
    <n v="39"/>
    <s v="Hazelnut flavor"/>
    <s v="White, yellow or marble"/>
    <x v="0"/>
    <x v="0"/>
    <x v="1"/>
    <s v="Pasteurized"/>
    <x v="3"/>
    <s v="Cheddar moyen (Fromagerie des Basques)"/>
    <x v="1"/>
    <s v="Qubec"/>
  </r>
  <r>
    <n v="1746"/>
    <s v="QC"/>
    <x v="8"/>
    <x v="1"/>
    <n v="39"/>
    <s v="Hazelnut flavour"/>
    <s v="White, yellow or marble"/>
    <x v="0"/>
    <x v="0"/>
    <x v="1"/>
    <s v="Pasteurized"/>
    <x v="3"/>
    <s v="Cheddar fort (Fromagerie des Basques)"/>
    <x v="1"/>
    <s v="Qubec"/>
  </r>
  <r>
    <n v="1747"/>
    <s v="QC"/>
    <x v="8"/>
    <x v="1"/>
    <n v="39"/>
    <s v="Hazelnut flavor"/>
    <s v="White, yellow or marble"/>
    <x v="0"/>
    <x v="0"/>
    <x v="1"/>
    <s v="Pasteurized"/>
    <x v="3"/>
    <s v="Cheddar extra-fort (Fromagerie des Basques)"/>
    <x v="1"/>
    <s v="Qubec"/>
  </r>
  <r>
    <n v="1748"/>
    <s v="QC"/>
    <x v="8"/>
    <x v="1"/>
    <n v="42"/>
    <s v="BBQ spices, herbs, pepper, bacon or tomato and basil"/>
    <s v="Curds or blocks (herbs and pepper)"/>
    <x v="0"/>
    <x v="0"/>
    <x v="1"/>
    <s v="Pasteurized"/>
    <x v="3"/>
    <s v="Fromage frais assaisonné"/>
    <x v="0"/>
    <s v="Qubec"/>
  </r>
  <r>
    <n v="1749"/>
    <s v="QC"/>
    <x v="8"/>
    <x v="1"/>
    <n v="42"/>
    <s v="Plain, herbs or BBQ"/>
    <s v=""/>
    <x v="0"/>
    <x v="0"/>
    <x v="1"/>
    <s v="Pasteurized"/>
    <x v="3"/>
    <s v="Fromage salé en tortillons"/>
    <x v="0"/>
    <s v="Qubec"/>
  </r>
  <r>
    <n v="1750"/>
    <s v="QC"/>
    <x v="8"/>
    <x v="1"/>
    <n v="42"/>
    <s v="Salty"/>
    <s v="Fresh cheese kept in brine for a few hours"/>
    <x v="0"/>
    <x v="0"/>
    <x v="1"/>
    <s v="Pasteurized"/>
    <x v="3"/>
    <s v="P'tit Basque"/>
    <x v="0"/>
    <s v="Qubec"/>
  </r>
  <r>
    <n v="1751"/>
    <s v="QC"/>
    <x v="8"/>
    <x v="1"/>
    <n v="42"/>
    <s v="Smoky flavor"/>
    <s v=""/>
    <x v="0"/>
    <x v="0"/>
    <x v="1"/>
    <s v="Pasteurized"/>
    <x v="3"/>
    <s v="Cheddar fumé au bois d'érable"/>
    <x v="1"/>
    <s v="Qubec"/>
  </r>
  <r>
    <n v="1752"/>
    <s v="QC"/>
    <x v="8"/>
    <x v="1"/>
    <n v="54"/>
    <s v="Butter and hazelnut taste"/>
    <s v="Supple and soft cheese"/>
    <x v="0"/>
    <x v="4"/>
    <x v="1"/>
    <s v="Pasteurized"/>
    <x v="2"/>
    <s v="Notre-Dame-des-Neiges (Le)"/>
    <x v="0"/>
    <s v="Qubec"/>
  </r>
  <r>
    <n v="1753"/>
    <s v="QC"/>
    <x v="8"/>
    <x v="1"/>
    <n v="54"/>
    <s v=""/>
    <s v="Reddish interior, very distinctive aroma"/>
    <x v="0"/>
    <x v="4"/>
    <x v="1"/>
    <s v="Pasteurized"/>
    <x v="0"/>
    <s v="Mackenzie (Le)"/>
    <x v="0"/>
    <s v="Qubec"/>
  </r>
  <r>
    <n v="1754"/>
    <s v="QC"/>
    <x v="8"/>
    <x v="1"/>
    <n v="42"/>
    <s v="Available plain or smoked"/>
    <s v="Yellow-colored, tender texture"/>
    <x v="0"/>
    <x v="0"/>
    <x v="1"/>
    <s v="Pasteurized"/>
    <x v="1"/>
    <s v="Sieur Riou-x (Le)"/>
    <x v="0"/>
    <s v="Qubec"/>
  </r>
  <r>
    <n v="1755"/>
    <s v="QC"/>
    <x v="8"/>
    <x v="1"/>
    <n v="42"/>
    <s v=""/>
    <s v="Shows smal holes. Cripsy on surface when its interior is compact and soft."/>
    <x v="0"/>
    <x v="1"/>
    <x v="1"/>
    <s v="Pasteurized"/>
    <x v="0"/>
    <s v="Trois-Pistoles (Le)"/>
    <x v="0"/>
    <s v="Qubec"/>
  </r>
  <r>
    <n v="1756"/>
    <s v="QC"/>
    <x v="8"/>
    <x v="1"/>
    <n v="45"/>
    <s v="Distinctive flavour with fruity notes"/>
    <s v="Surface ripened, washed rind"/>
    <x v="0"/>
    <x v="1"/>
    <x v="1"/>
    <s v="Pasteurized"/>
    <x v="0"/>
    <s v="L'Héritage"/>
    <x v="0"/>
    <s v="Qubec"/>
  </r>
  <r>
    <n v="1757"/>
    <s v="QC"/>
    <x v="8"/>
    <x v="1"/>
    <n v="42"/>
    <s v="Mild to sharp"/>
    <s v="Cheese with irregular holes, washed rind"/>
    <x v="0"/>
    <x v="0"/>
    <x v="1"/>
    <s v="Pasteurized"/>
    <x v="0"/>
    <s v="Suisse (Fromagerie des Basques)"/>
    <x v="0"/>
    <s v="Qubec"/>
  </r>
  <r>
    <n v="1758"/>
    <s v="QC"/>
    <x v="8"/>
    <x v="2"/>
    <n v="36"/>
    <s v="Also available seasoned with organic garlic flower"/>
    <s v="Cheddar type firm cheese"/>
    <x v="1"/>
    <x v="0"/>
    <x v="1"/>
    <s v="Raw Milk"/>
    <x v="1"/>
    <s v="Troubadour (Le)"/>
    <x v="1"/>
    <s v="Qubec"/>
  </r>
  <r>
    <n v="1759"/>
    <s v="QC"/>
    <x v="8"/>
    <x v="2"/>
    <n v="36"/>
    <s v="Cream, hazelnut, flowers and smoky flavor"/>
    <s v="Pressed and cooked, golden to copper-colored rind"/>
    <x v="1"/>
    <x v="0"/>
    <x v="1"/>
    <s v="Raw Milk"/>
    <x v="1"/>
    <s v="Ménestrel (Le)"/>
    <x v="1"/>
    <s v="Qubec"/>
  </r>
  <r>
    <n v="1760"/>
    <s v="QC"/>
    <x v="8"/>
    <x v="2"/>
    <n v="48"/>
    <s v="Vegetables, mushroom, cut herbs and damp wood aromas"/>
    <s v="White and gray bloom on its rind, cylindrical shape, slightly crumbly and melting texture"/>
    <x v="1"/>
    <x v="2"/>
    <x v="1"/>
    <s v="Pasteurized"/>
    <x v="1"/>
    <s v="Fleuron (Le)"/>
    <x v="0"/>
    <s v="Qubec"/>
  </r>
  <r>
    <n v="1761"/>
    <s v="QC"/>
    <x v="8"/>
    <x v="2"/>
    <n v="44"/>
    <s v="Sharp"/>
    <s v="Pink-orangey washed rind, partly covered with a white to gray indigenous penicillium"/>
    <x v="1"/>
    <x v="1"/>
    <x v="1"/>
    <s v="Pasteurized"/>
    <x v="0"/>
    <s v="Fou du Roy (Le)"/>
    <x v="0"/>
    <s v="Qubec"/>
  </r>
  <r>
    <n v="1762"/>
    <s v="QC"/>
    <x v="8"/>
    <x v="2"/>
    <n v="42"/>
    <s v="Lively creamy flavor. Fresh mushrooms and caramel aromas"/>
    <s v="Dark rind"/>
    <x v="1"/>
    <x v="2"/>
    <x v="1"/>
    <s v="Pasteurized"/>
    <x v="1"/>
    <s v="Rassembleu (Le)"/>
    <x v="0"/>
    <s v="Qubec"/>
  </r>
  <r>
    <n v="1767"/>
    <s v="QC"/>
    <x v="8"/>
    <x v="2"/>
    <n v="45"/>
    <s v="Mild"/>
    <s v="Available : cheese rounds or curds"/>
    <x v="0"/>
    <x v="0"/>
    <x v="1"/>
    <s v="Pasteurized"/>
    <x v="1"/>
    <s v="Fromage en grains ou en meule"/>
    <x v="1"/>
    <s v="Qubec"/>
  </r>
  <r>
    <n v="1768"/>
    <s v="QC"/>
    <x v="8"/>
    <x v="2"/>
    <n v="40"/>
    <s v=""/>
    <s v="Creamy cheese. Made from Ayrshire's cow milk."/>
    <x v="0"/>
    <x v="4"/>
    <x v="1"/>
    <s v="Raw Milk"/>
    <x v="2"/>
    <s v="Desneiges (Le)"/>
    <x v="1"/>
    <s v="Qubec"/>
  </r>
  <r>
    <n v="1769"/>
    <s v="QC"/>
    <x v="8"/>
    <x v="2"/>
    <n v="45"/>
    <s v="Pronounced"/>
    <s v="Orange rind washed with salty water. Made from Ayrshire milk cow."/>
    <x v="0"/>
    <x v="1"/>
    <x v="1"/>
    <s v="Raw Milk"/>
    <x v="0"/>
    <s v="Bouton d'Or (Le)"/>
    <x v="1"/>
    <s v="Qubec"/>
  </r>
  <r>
    <n v="1770"/>
    <s v="QC"/>
    <x v="8"/>
    <x v="0"/>
    <n v="48"/>
    <s v="Mild and creamy, slightly acid, slight goat flavour"/>
    <s v="Soft cheese, white to yellowy natural rind, chalky and unctuous texture"/>
    <x v="0"/>
    <x v="4"/>
    <x v="2"/>
    <s v="Pasteurized"/>
    <x v="1"/>
    <s v="Jac le Chevrier"/>
    <x v="0"/>
    <s v="Qubec"/>
  </r>
  <r>
    <n v="1771"/>
    <s v="QC"/>
    <x v="8"/>
    <x v="1"/>
    <n v="72"/>
    <s v="Mild and acidulous"/>
    <s v="White, creamy and thick"/>
    <x v="0"/>
    <x v="3"/>
    <x v="1"/>
    <s v="Pasteurized"/>
    <x v="3"/>
    <s v="Labneh (Fromagerie Polyethnique)"/>
    <x v="0"/>
    <s v="Qubec"/>
  </r>
  <r>
    <n v="1772"/>
    <s v="QC"/>
    <x v="8"/>
    <x v="1"/>
    <n v="47.06"/>
    <s v="Mild and acidulous"/>
    <s v="White, creamy and thick"/>
    <x v="0"/>
    <x v="3"/>
    <x v="1"/>
    <s v="Pasteurized"/>
    <x v="3"/>
    <s v="Labneh léger (Fromagerie Polyethnique)"/>
    <x v="0"/>
    <s v="Qubec"/>
  </r>
  <r>
    <n v="1773"/>
    <s v="QC"/>
    <x v="8"/>
    <x v="1"/>
    <n v="47.06"/>
    <s v="Mild and salty"/>
    <s v="Compact, unripened"/>
    <x v="0"/>
    <x v="4"/>
    <x v="1"/>
    <s v="Pasteurized"/>
    <x v="3"/>
    <s v="Akawie léger (Fromagerie Polyethnique)"/>
    <x v="0"/>
    <s v="Qubec"/>
  </r>
  <r>
    <n v="1774"/>
    <s v="QC"/>
    <x v="8"/>
    <x v="1"/>
    <n v="50"/>
    <s v="Mild, lactic and slightly salted"/>
    <s v="White cheese, folded like a book"/>
    <x v="0"/>
    <x v="1"/>
    <x v="1"/>
    <s v="Pasteurized"/>
    <x v="3"/>
    <s v="Haloumi (Fromagerie Polyethnique)"/>
    <x v="0"/>
    <s v="Qubec"/>
  </r>
  <r>
    <n v="1775"/>
    <s v="QC"/>
    <x v="8"/>
    <x v="1"/>
    <n v="55"/>
    <s v="Fresh, lime, slightly salty"/>
    <s v="No rind, soft compact block"/>
    <x v="0"/>
    <x v="4"/>
    <x v="1"/>
    <s v="Pasteurized"/>
    <x v="3"/>
    <s v="Baladi (Fromagerie Polyethnique)"/>
    <x v="0"/>
    <s v="Qubec"/>
  </r>
  <r>
    <n v="1776"/>
    <s v="QC"/>
    <x v="8"/>
    <x v="1"/>
    <n v="57"/>
    <s v="Mild and salty"/>
    <s v="Compact, unripened"/>
    <x v="0"/>
    <x v="4"/>
    <x v="1"/>
    <s v="Pasteurized"/>
    <x v="3"/>
    <s v="Akawie (Fromagerie Polyethnique)"/>
    <x v="0"/>
    <s v="Qubec"/>
  </r>
  <r>
    <n v="1777"/>
    <s v="QC"/>
    <x v="8"/>
    <x v="1"/>
    <n v="50"/>
    <s v="Fresh"/>
    <s v="Thread-like cheese stored in salt water"/>
    <x v="0"/>
    <x v="0"/>
    <x v="1"/>
    <s v="Pasteurized"/>
    <x v="3"/>
    <s v="Tressé (Fromagerie Polyethnique)"/>
    <x v="0"/>
    <s v="Qubec"/>
  </r>
  <r>
    <n v="1778"/>
    <s v="QC"/>
    <x v="8"/>
    <x v="1"/>
    <n v="48"/>
    <s v="Mild, fresh, salty and slightly spicy"/>
    <s v=""/>
    <x v="0"/>
    <x v="1"/>
    <x v="1"/>
    <s v="Pasteurized"/>
    <x v="3"/>
    <s v="Nabulsi (Fromagerie Polyethnique)"/>
    <x v="0"/>
    <s v="Qubec"/>
  </r>
  <r>
    <n v="1779"/>
    <s v="QC"/>
    <x v="8"/>
    <x v="1"/>
    <n v="39"/>
    <s v="Mild and creamy taste. Available flavors : fine herbs, tomato and basil or spicy."/>
    <s v="Cream-colored or colored. Smooth and supple texture"/>
    <x v="0"/>
    <x v="0"/>
    <x v="1"/>
    <s v="Pasteurized"/>
    <x v="3"/>
    <s v="Cheddar assaisonné St-Guillaume"/>
    <x v="1"/>
    <s v="Qubec"/>
  </r>
  <r>
    <n v="1780"/>
    <s v="QC"/>
    <x v="8"/>
    <x v="1"/>
    <n v="39"/>
    <s v="Mild and creamy flavor, hazelnut taste, buttery aroma"/>
    <s v="Creamy-colored or colored. Smooth and supple texture."/>
    <x v="0"/>
    <x v="0"/>
    <x v="1"/>
    <s v="Pasteurized"/>
    <x v="3"/>
    <s v="Cheddar doux St-Guillaume"/>
    <x v="1"/>
    <s v="Qubec"/>
  </r>
  <r>
    <n v="1781"/>
    <s v="QC"/>
    <x v="8"/>
    <x v="1"/>
    <n v="39"/>
    <s v="Mild and creamy flavor"/>
    <s v="Creamy-coloured, supple and smooth texture. Cheese curds or blocks."/>
    <x v="0"/>
    <x v="0"/>
    <x v="1"/>
    <s v="Pasteurized"/>
    <x v="3"/>
    <s v="Cheddar frais St-Guillaume"/>
    <x v="1"/>
    <s v="Qubec"/>
  </r>
  <r>
    <n v="1782"/>
    <s v="QC"/>
    <x v="8"/>
    <x v="1"/>
    <n v="39"/>
    <s v="Hazelnut flavor that intensifies with age"/>
    <s v="A little dryer than mild cheddar"/>
    <x v="0"/>
    <x v="0"/>
    <x v="1"/>
    <s v="Raw Milk"/>
    <x v="3"/>
    <s v="Cheddar mi-fort St-Guillaume"/>
    <x v="1"/>
    <s v="Qubec"/>
  </r>
  <r>
    <n v="1783"/>
    <s v="QC"/>
    <x v="8"/>
    <x v="1"/>
    <n v="39"/>
    <s v="Sharp nutty flavor, almond and butter aroma"/>
    <s v="Brittle and crumbly texture"/>
    <x v="0"/>
    <x v="0"/>
    <x v="1"/>
    <s v="Raw Milk"/>
    <x v="3"/>
    <s v="Cheddar fort St-Guillaume"/>
    <x v="1"/>
    <s v="Qubec"/>
  </r>
  <r>
    <n v="1784"/>
    <s v="QC"/>
    <x v="8"/>
    <x v="1"/>
    <n v="39"/>
    <s v="Sharp nutty flavor, almond and butter aroma"/>
    <s v="Crumbly and brittle texture"/>
    <x v="0"/>
    <x v="0"/>
    <x v="1"/>
    <s v="Raw Milk"/>
    <x v="3"/>
    <s v="Cheddar extra-fort St-Guillaume"/>
    <x v="1"/>
    <s v="Qubec"/>
  </r>
  <r>
    <n v="1785"/>
    <s v="QC"/>
    <x v="8"/>
    <x v="1"/>
    <n v="35"/>
    <s v="Salty. Also available : BBQ flavor"/>
    <s v="Cream-colored or colored. Unripened and unpressed. Preserved in brine."/>
    <x v="0"/>
    <x v="0"/>
    <x v="1"/>
    <s v="Pasteurized"/>
    <x v="3"/>
    <s v="St-Tordu"/>
    <x v="1"/>
    <s v="Qubec"/>
  </r>
  <r>
    <n v="1786"/>
    <s v="QC"/>
    <x v="8"/>
    <x v="1"/>
    <n v="42"/>
    <s v="Very mild"/>
    <s v="Creamy and elastic texture, irregularly prickled with small holes"/>
    <x v="0"/>
    <x v="1"/>
    <x v="1"/>
    <s v="Pasteurized"/>
    <x v="3"/>
    <s v="Brick St-Guillaume"/>
    <x v="0"/>
    <s v="Qubec"/>
  </r>
  <r>
    <n v="1787"/>
    <s v="QC"/>
    <x v="8"/>
    <x v="1"/>
    <n v="44"/>
    <s v="Very light hazelnut taste, slightly sour"/>
    <s v="Light yellow with soft texture"/>
    <x v="0"/>
    <x v="1"/>
    <x v="1"/>
    <s v="Pasteurized"/>
    <x v="3"/>
    <s v="Monterey Jack St-Guillaume"/>
    <x v="0"/>
    <s v="Qubec"/>
  </r>
  <r>
    <n v="1788"/>
    <s v="QC"/>
    <x v="8"/>
    <x v="1"/>
    <n v="40"/>
    <s v="Taste reminiscent of Emmental but less pronounced, delicate taste of sugared almonds"/>
    <s v="Shiny, soft cheese, no rind. Round &quot;eyes&quot;, distributed throughout interior."/>
    <x v="0"/>
    <x v="0"/>
    <x v="1"/>
    <s v="Pasteurized"/>
    <x v="3"/>
    <s v="Suisse St-Guillaume"/>
    <x v="0"/>
    <s v="Qubec"/>
  </r>
  <r>
    <n v="1793"/>
    <s v="QC"/>
    <x v="8"/>
    <x v="0"/>
    <n v="70"/>
    <s v="Unsalted, the acid is conterbalanced by the taste of cream, slight goat flavour"/>
    <s v="White cheese with a smooth and creamy texture"/>
    <x v="0"/>
    <x v="3"/>
    <x v="2"/>
    <s v="Pasteurized"/>
    <x v="3"/>
    <s v="Cabrita"/>
    <x v="0"/>
    <s v="Qubec"/>
  </r>
  <r>
    <n v="1794"/>
    <s v="QC"/>
    <x v="8"/>
    <x v="0"/>
    <n v="45"/>
    <s v="Fruity notes with a finish of hints of spice"/>
    <s v="Amber-colored rind, golden interior with small holes."/>
    <x v="0"/>
    <x v="1"/>
    <x v="1"/>
    <s v="Raw Milk"/>
    <x v="0"/>
    <s v="Dame de Coeur  (La)"/>
    <x v="1"/>
    <s v="Qubec"/>
  </r>
  <r>
    <n v="1795"/>
    <s v="QC"/>
    <x v="8"/>
    <x v="0"/>
    <n v="45"/>
    <s v="Woody notes"/>
    <s v="Semi-soft and unctuous cheese, golden rind"/>
    <x v="0"/>
    <x v="1"/>
    <x v="1"/>
    <s v="Raw Milk"/>
    <x v="0"/>
    <s v="Mistouk (Le)"/>
    <x v="1"/>
    <s v="Qubec"/>
  </r>
  <r>
    <n v="1796"/>
    <s v="QC"/>
    <x v="8"/>
    <x v="0"/>
    <n v="45"/>
    <s v="Fruity and almond hints"/>
    <s v=""/>
    <x v="0"/>
    <x v="1"/>
    <x v="1"/>
    <s v="Pasteurized"/>
    <x v="0"/>
    <s v="Piekouagami (Le)"/>
    <x v="1"/>
    <s v="Qubec"/>
  </r>
  <r>
    <n v="1797"/>
    <s v="QC"/>
    <x v="8"/>
    <x v="0"/>
    <n v="52"/>
    <s v="Fresh hazelnut flavor"/>
    <s v="Camembert-type cheese with a bloomy rind. Smooth and unctuous texture."/>
    <x v="0"/>
    <x v="4"/>
    <x v="1"/>
    <s v="Pasteurized"/>
    <x v="2"/>
    <s v="Saint-Coeur-de-Marie"/>
    <x v="0"/>
    <s v="Qubec"/>
  </r>
  <r>
    <n v="1798"/>
    <s v="QC"/>
    <x v="8"/>
    <x v="0"/>
    <n v="38"/>
    <s v=""/>
    <s v="Smooth and creamy textured cheddar"/>
    <x v="0"/>
    <x v="0"/>
    <x v="1"/>
    <s v="Pasteurized"/>
    <x v="3"/>
    <s v="Froméga"/>
    <x v="1"/>
    <s v="Qubec"/>
  </r>
  <r>
    <n v="1799"/>
    <s v="QC"/>
    <x v="8"/>
    <x v="0"/>
    <n v="45"/>
    <s v="Crabapple and butter flavors, well balanced"/>
    <s v="Rind color of copper, its interior is golden-ivory-colored, fruity aroma"/>
    <x v="1"/>
    <x v="1"/>
    <x v="1"/>
    <s v="Raw Milk"/>
    <x v="0"/>
    <s v="Raclette de Compton"/>
    <x v="0"/>
    <s v="Qubec"/>
  </r>
  <r>
    <n v="1800"/>
    <s v="QC"/>
    <x v="8"/>
    <x v="0"/>
    <n v="39"/>
    <s v="Bloomy and nutty"/>
    <s v="Orange-colored rind, woody smell, flexible texture"/>
    <x v="1"/>
    <x v="0"/>
    <x v="1"/>
    <s v="Raw Milk"/>
    <x v="0"/>
    <s v="Alfred Le Fermier"/>
    <x v="1"/>
    <s v="Qubec"/>
  </r>
  <r>
    <n v="1801"/>
    <s v="QC"/>
    <x v="8"/>
    <x v="2"/>
    <n v="39"/>
    <s v="Lactic taste"/>
    <s v="Also colored or marbled"/>
    <x v="1"/>
    <x v="0"/>
    <x v="1"/>
    <s v="Raw Milk"/>
    <x v="3"/>
    <s v="Cheddar doux (l'Ancêtre)"/>
    <x v="1"/>
    <s v="Qubec"/>
  </r>
  <r>
    <n v="1802"/>
    <s v="QC"/>
    <x v="8"/>
    <x v="2"/>
    <n v="39"/>
    <s v="Lactic"/>
    <s v=""/>
    <x v="1"/>
    <x v="0"/>
    <x v="1"/>
    <s v="Raw Milk"/>
    <x v="3"/>
    <s v="Cheddar moyen (l'Ancêtre)"/>
    <x v="1"/>
    <s v="Qubec"/>
  </r>
  <r>
    <n v="1803"/>
    <s v="QC"/>
    <x v="8"/>
    <x v="2"/>
    <n v="39"/>
    <s v="Lactic"/>
    <s v="Slightly crumbly texture"/>
    <x v="1"/>
    <x v="0"/>
    <x v="1"/>
    <s v="Raw Milk"/>
    <x v="3"/>
    <s v="Cheddar fort  (l'Ancêtre)"/>
    <x v="1"/>
    <s v="Qubec"/>
  </r>
  <r>
    <n v="1804"/>
    <s v="QC"/>
    <x v="8"/>
    <x v="2"/>
    <n v="39"/>
    <s v="Lactic"/>
    <s v=""/>
    <x v="1"/>
    <x v="0"/>
    <x v="1"/>
    <s v="Raw Milk"/>
    <x v="3"/>
    <s v="Cheddar extra-fort (l'Ancêtre)"/>
    <x v="1"/>
    <s v="Qubec"/>
  </r>
  <r>
    <n v="1805"/>
    <s v="QC"/>
    <x v="8"/>
    <x v="2"/>
    <n v="52"/>
    <s v="Delicate taste of milk and butter, slightly acid"/>
    <s v="Elastic, soft, supple, fibrous and slightly crunchy texture"/>
    <x v="1"/>
    <x v="1"/>
    <x v="1"/>
    <s v="Pasteurized"/>
    <x v="3"/>
    <s v="Mozzarella 15% (l'Ancêtre)"/>
    <x v="0"/>
    <s v="Qubec"/>
  </r>
  <r>
    <n v="1806"/>
    <s v="QC"/>
    <x v="8"/>
    <x v="2"/>
    <n v="32"/>
    <s v="Rich flavour of hazelnut with a hint of saltiness"/>
    <s v="Pressed and cooked cheese, interior ripened"/>
    <x v="1"/>
    <x v="5"/>
    <x v="1"/>
    <s v="Pasteurized"/>
    <x v="1"/>
    <s v="Parmesan (l'Ancêtre)"/>
    <x v="1"/>
    <s v="Qubec"/>
  </r>
  <r>
    <n v="1807"/>
    <s v="QC"/>
    <x v="8"/>
    <x v="2"/>
    <n v="40"/>
    <s v=""/>
    <s v=""/>
    <x v="1"/>
    <x v="0"/>
    <x v="1"/>
    <s v="Raw Milk"/>
    <x v="1"/>
    <s v="Emmental (l'Ancêtre)"/>
    <x v="0"/>
    <s v="Qubec"/>
  </r>
  <r>
    <n v="1808"/>
    <s v="QC"/>
    <x v="8"/>
    <x v="2"/>
    <n v="52"/>
    <s v="Delicate taste of milk and butter, slightly acid"/>
    <s v="Elastic, soft, supple, fibrous and slightly crunchy texture"/>
    <x v="1"/>
    <x v="1"/>
    <x v="1"/>
    <s v="Pasteurized"/>
    <x v="3"/>
    <s v="Mozzarella 20% (l'Ancêtre)"/>
    <x v="0"/>
    <s v="Qubec"/>
  </r>
  <r>
    <n v="1809"/>
    <s v="QC"/>
    <x v="8"/>
    <x v="2"/>
    <n v="55"/>
    <s v="Mild, lactic"/>
    <s v=""/>
    <x v="1"/>
    <x v="0"/>
    <x v="1"/>
    <s v="Pasteurized"/>
    <x v="1"/>
    <s v="Frugal"/>
    <x v="0"/>
    <s v="Qubec"/>
  </r>
  <r>
    <n v="1810"/>
    <s v="QC"/>
    <x v="8"/>
    <x v="2"/>
    <n v="65"/>
    <s v="Acidulous"/>
    <s v="Crumbly and soft texture, whitish"/>
    <x v="0"/>
    <x v="3"/>
    <x v="1"/>
    <s v="Pasteurized"/>
    <x v="3"/>
    <s v="Ricotta (l'Ancêtre)"/>
    <x v="0"/>
    <s v="Qubec"/>
  </r>
  <r>
    <n v="1811"/>
    <s v="QC"/>
    <x v="8"/>
    <x v="1"/>
    <n v="33"/>
    <s v="Hazelnut taste that sharpens with age. Available: mild, medium, strong, extra-strong 1 year, 2 years and 3 years"/>
    <s v=""/>
    <x v="1"/>
    <x v="0"/>
    <x v="1"/>
    <s v="Thermised"/>
    <x v="3"/>
    <s v="Cheddar (Biobio) - 1 year, 2 years and 3 years"/>
    <x v="1"/>
    <s v="Qubec"/>
  </r>
  <r>
    <n v="1814"/>
    <s v="QC"/>
    <x v="8"/>
    <x v="1"/>
    <n v="52"/>
    <s v="Light milk and butter taste, hardly acidulous"/>
    <s v=""/>
    <x v="1"/>
    <x v="0"/>
    <x v="1"/>
    <s v="Pasteurized"/>
    <x v="3"/>
    <s v="Biobio Mozzarella"/>
    <x v="0"/>
    <s v="Qubec"/>
  </r>
  <r>
    <n v="1815"/>
    <s v="QC"/>
    <x v="8"/>
    <x v="1"/>
    <n v="55"/>
    <s v="Mild cheddar taste"/>
    <s v=""/>
    <x v="1"/>
    <x v="0"/>
    <x v="1"/>
    <s v="Pasteurized"/>
    <x v="3"/>
    <s v="Biobio fromage 7%"/>
    <x v="0"/>
    <s v="Qubec"/>
  </r>
  <r>
    <n v="1816"/>
    <s v="QC"/>
    <x v="8"/>
    <x v="1"/>
    <n v="33"/>
    <s v="Rich, nutty, robust, sharp taste, rather salty"/>
    <s v=""/>
    <x v="1"/>
    <x v="5"/>
    <x v="1"/>
    <s v="Thermised"/>
    <x v="3"/>
    <s v="Parmesan (Biobio)"/>
    <x v="1"/>
    <s v="Qubec"/>
  </r>
  <r>
    <n v="1817"/>
    <s v="QC"/>
    <x v="8"/>
    <x v="1"/>
    <n v="40"/>
    <s v="Pronounced nutty taste, mild and melt-in-the-mouth, slightly sweet"/>
    <s v=""/>
    <x v="1"/>
    <x v="0"/>
    <x v="1"/>
    <s v="Thermised"/>
    <x v="3"/>
    <s v="Suisse (Biobio)"/>
    <x v="0"/>
    <s v="Qubec"/>
  </r>
  <r>
    <n v="1827"/>
    <s v="QC"/>
    <x v="8"/>
    <x v="1"/>
    <n v="48"/>
    <s v="Fresh cream with a hint of hazelnut"/>
    <s v="Self-colored chalky and creamy texture"/>
    <x v="0"/>
    <x v="4"/>
    <x v="1"/>
    <s v="Pasteurized"/>
    <x v="2"/>
    <s v="Attrape-Cœur (L')"/>
    <x v="1"/>
    <s v="Qubec"/>
  </r>
  <r>
    <n v="1828"/>
    <s v="ON"/>
    <x v="1"/>
    <x v="2"/>
    <n v="44"/>
    <s v="Available with 8 different seasonings : crushed pepper, ground pepper, garlic, jalapenos, garlic and chives, italian, fine herbs and vegetables"/>
    <s v="Fresh cheese curds or blocks"/>
    <x v="0"/>
    <x v="1"/>
    <x v="1"/>
    <s v="Pasteurized"/>
    <x v="3"/>
    <s v="Cheddar frais (Fromagerie du Matin)"/>
    <x v="1"/>
    <s v="Ontario"/>
  </r>
  <r>
    <n v="1830"/>
    <s v="BC"/>
    <x v="2"/>
    <x v="0"/>
    <n v="55"/>
    <s v="Distinct flavor"/>
    <s v="white, slices nicely"/>
    <x v="0"/>
    <x v="1"/>
    <x v="2"/>
    <s v="Pasteurized"/>
    <x v="1"/>
    <s v="Mild Goat Cheese"/>
    <x v="0"/>
    <s v="British Columbia"/>
  </r>
  <r>
    <n v="1841"/>
    <s v="MB"/>
    <x v="5"/>
    <x v="0"/>
    <n v="42"/>
    <s v="Mild, slightly nutty taste"/>
    <s v=""/>
    <x v="0"/>
    <x v="0"/>
    <x v="1"/>
    <s v="Pasteurized"/>
    <x v="3"/>
    <s v="Edam (Bothwell)"/>
    <x v="0"/>
    <s v="Manitobia"/>
  </r>
  <r>
    <n v="1842"/>
    <s v="MB"/>
    <x v="5"/>
    <x v="0"/>
    <n v="42"/>
    <s v="Midly spicy, exotic flavour"/>
    <s v=""/>
    <x v="0"/>
    <x v="0"/>
    <x v="1"/>
    <s v="Pasteurized"/>
    <x v="1"/>
    <s v="Madgascar Green Peppercorn"/>
    <x v="0"/>
    <s v="Manitobia"/>
  </r>
  <r>
    <n v="1843"/>
    <s v="MB"/>
    <x v="5"/>
    <x v="0"/>
    <n v="42"/>
    <s v="Inferno finish"/>
    <s v=""/>
    <x v="0"/>
    <x v="0"/>
    <x v="1"/>
    <s v="Pasteurized"/>
    <x v="3"/>
    <s v="Red Hot Chili Pepper Jack"/>
    <x v="0"/>
    <s v="Manitobia"/>
  </r>
  <r>
    <n v="1844"/>
    <s v="MB"/>
    <x v="5"/>
    <x v="0"/>
    <n v="42"/>
    <s v="Earthy, complex flavour with a rich, smooth finish"/>
    <s v=""/>
    <x v="0"/>
    <x v="0"/>
    <x v="1"/>
    <s v="Pasteurized"/>
    <x v="1"/>
    <s v="Black Truffle"/>
    <x v="0"/>
    <s v="Manitobia"/>
  </r>
  <r>
    <n v="1845"/>
    <s v="MB"/>
    <x v="5"/>
    <x v="0"/>
    <n v="44"/>
    <s v=""/>
    <s v=""/>
    <x v="0"/>
    <x v="1"/>
    <x v="1"/>
    <s v="Pasteurized"/>
    <x v="3"/>
    <s v="Mozzarella (Bothwell)"/>
    <x v="0"/>
    <s v="Manitobia"/>
  </r>
  <r>
    <n v="1858"/>
    <s v="ON"/>
    <x v="1"/>
    <x v="1"/>
    <n v="35"/>
    <s v="Flavour is sharp and piquant"/>
    <s v="Hard cheese with a granular interior and hard brittle rind"/>
    <x v="0"/>
    <x v="5"/>
    <x v="1"/>
    <s v="Pasteurized"/>
    <x v="1"/>
    <s v="Romano (Thornloe)"/>
    <x v="1"/>
    <s v="Ontario"/>
  </r>
  <r>
    <n v="1859"/>
    <s v="ON"/>
    <x v="1"/>
    <x v="1"/>
    <n v="35"/>
    <s v="Slightly sharp cheese with fruity flavor"/>
    <s v="Granular interior full of small holes"/>
    <x v="0"/>
    <x v="0"/>
    <x v="1"/>
    <s v="Pasteurized"/>
    <x v="1"/>
    <s v="Asiago (Thornloe)"/>
    <x v="1"/>
    <s v="Ontario"/>
  </r>
  <r>
    <n v="1860"/>
    <s v="ON"/>
    <x v="1"/>
    <x v="1"/>
    <n v="55"/>
    <s v=""/>
    <s v=""/>
    <x v="0"/>
    <x v="5"/>
    <x v="1"/>
    <s v="Pasteurized"/>
    <x v="1"/>
    <s v="Asadero"/>
    <x v="0"/>
    <s v="Ontario"/>
  </r>
  <r>
    <n v="1861"/>
    <s v="ON"/>
    <x v="1"/>
    <x v="1"/>
    <n v="52"/>
    <s v=""/>
    <s v=""/>
    <x v="0"/>
    <x v="4"/>
    <x v="1"/>
    <s v="Pasteurized"/>
    <x v="1"/>
    <s v="Burrata"/>
    <x v="0"/>
    <s v="Ontario"/>
  </r>
  <r>
    <n v="1863"/>
    <s v="ON"/>
    <x v="1"/>
    <x v="1"/>
    <n v="38"/>
    <s v=""/>
    <s v=""/>
    <x v="0"/>
    <x v="0"/>
    <x v="2"/>
    <s v="Pasteurized"/>
    <x v="1"/>
    <s v="Santa Lucia Goat Cheese"/>
    <x v="0"/>
    <s v="Ontario"/>
  </r>
  <r>
    <n v="1864"/>
    <s v="ON"/>
    <x v="1"/>
    <x v="1"/>
    <n v="55"/>
    <s v=""/>
    <s v=""/>
    <x v="0"/>
    <x v="4"/>
    <x v="2"/>
    <s v="Pasteurized"/>
    <x v="2"/>
    <s v="Santa Lucia Goat Cheese Brie"/>
    <x v="1"/>
    <s v="Ontario"/>
  </r>
  <r>
    <n v="1867"/>
    <s v="ON"/>
    <x v="1"/>
    <x v="1"/>
    <n v="76"/>
    <s v=""/>
    <s v=""/>
    <x v="0"/>
    <x v="3"/>
    <x v="1"/>
    <s v="Pasteurized"/>
    <x v="1"/>
    <s v="Ranchero Fresh Cheese"/>
    <x v="0"/>
    <s v="Ontario"/>
  </r>
  <r>
    <n v="1868"/>
    <s v="ON"/>
    <x v="1"/>
    <x v="1"/>
    <n v="52"/>
    <s v=""/>
    <s v=""/>
    <x v="0"/>
    <x v="3"/>
    <x v="1"/>
    <s v="Pasteurized"/>
    <x v="1"/>
    <s v="Santa Lucia Tuma"/>
    <x v="0"/>
    <s v="Ontario"/>
  </r>
  <r>
    <n v="1869"/>
    <s v="ON"/>
    <x v="1"/>
    <x v="1"/>
    <n v="50"/>
    <s v="slightly salty and pleasantly sour taste"/>
    <s v=""/>
    <x v="0"/>
    <x v="1"/>
    <x v="1"/>
    <s v="Pasteurized"/>
    <x v="1"/>
    <s v="Queijo do Pico"/>
    <x v="0"/>
    <s v="Ontario"/>
  </r>
  <r>
    <n v="1871"/>
    <s v="NS"/>
    <x v="4"/>
    <x v="1"/>
    <n v="39"/>
    <s v="Mild, medium ,old, old white, marble"/>
    <s v=""/>
    <x v="0"/>
    <x v="0"/>
    <x v="1"/>
    <s v="Pasteurized"/>
    <x v="3"/>
    <s v="Cheddar (Farmers Dairy)"/>
    <x v="1"/>
    <s v="Nova Scotia"/>
  </r>
  <r>
    <n v="1872"/>
    <s v="ON"/>
    <x v="1"/>
    <x v="1"/>
    <n v="47"/>
    <s v="Sharp, tangy and slighty salty"/>
    <s v=""/>
    <x v="0"/>
    <x v="0"/>
    <x v="1"/>
    <s v="Thermised"/>
    <x v="1"/>
    <s v="Blue Cheese (Rosenborg)"/>
    <x v="0"/>
    <s v="Ontario"/>
  </r>
  <r>
    <n v="1873"/>
    <s v="ON"/>
    <x v="1"/>
    <x v="1"/>
    <n v="40"/>
    <s v="Slightly more salty taste and firmer texture than the blue cheese"/>
    <s v=""/>
    <x v="0"/>
    <x v="0"/>
    <x v="1"/>
    <s v="Pasteurized"/>
    <x v="1"/>
    <s v="Gorgonzola (Castello)"/>
    <x v="1"/>
    <s v="Ontario"/>
  </r>
  <r>
    <n v="1876"/>
    <s v="ON"/>
    <x v="1"/>
    <x v="1"/>
    <n v="52"/>
    <s v=""/>
    <s v=""/>
    <x v="0"/>
    <x v="1"/>
    <x v="1"/>
    <s v="Pasteurized"/>
    <x v="1"/>
    <s v="Bocconcini (International Cheese)"/>
    <x v="0"/>
    <s v="Ontario"/>
  </r>
  <r>
    <n v="1879"/>
    <s v="BC"/>
    <x v="2"/>
    <x v="0"/>
    <n v="27"/>
    <s v="Sweet flavour, with hints of nuts and fruit"/>
    <s v="A hard cheese modeled after an Italian Piave with a dense grainy texture."/>
    <x v="1"/>
    <x v="5"/>
    <x v="1"/>
    <s v="Raw Milk"/>
    <x v="0"/>
    <s v="Mountain Grana"/>
    <x v="0"/>
    <s v="British Columbia"/>
  </r>
  <r>
    <n v="1880"/>
    <s v="BC"/>
    <x v="2"/>
    <x v="0"/>
    <n v="35"/>
    <s v=""/>
    <s v="A firm cheese with mild earthy notes, a subtle creamy texture, and a pale golden interior."/>
    <x v="1"/>
    <x v="0"/>
    <x v="1"/>
    <s v="Raw Milk"/>
    <x v="0"/>
    <s v="Nostrala &quot;Of This Place&quot;"/>
    <x v="1"/>
    <s v="British Columbia"/>
  </r>
  <r>
    <n v="1881"/>
    <s v="BC"/>
    <x v="2"/>
    <x v="0"/>
    <n v="35"/>
    <s v="Smooth nut flavour"/>
    <s v="It exhibits a smooth nut flavour, a complex finish, a rich golden interior and a dark textured rind."/>
    <x v="1"/>
    <x v="0"/>
    <x v="1"/>
    <s v="Raw Milk"/>
    <x v="0"/>
    <s v="Alpindon &quot;Gift Of The Alpine&quot;"/>
    <x v="1"/>
    <s v="British Columbia"/>
  </r>
  <r>
    <n v="1883"/>
    <s v="PE"/>
    <x v="7"/>
    <x v="2"/>
    <n v="36"/>
    <s v="Full bodied flavours with a bite a the end."/>
    <s v="Made with vegetarian-friendly microbial enzyme (binding cloth rubbed in lard)."/>
    <x v="0"/>
    <x v="0"/>
    <x v="1"/>
    <s v="Raw Milk"/>
    <x v="3"/>
    <s v="Avonlea Clothbound Cheddar"/>
    <x v="1"/>
    <s v="Prince Edward Island"/>
  </r>
  <r>
    <n v="1887"/>
    <s v="ON"/>
    <x v="1"/>
    <x v="0"/>
    <n v="37"/>
    <s v="-"/>
    <s v="100% whole milk is used in the manufacturing of our traditional cheese. Cheddars are naturally aged in underground storages."/>
    <x v="0"/>
    <x v="5"/>
    <x v="1"/>
    <s v="Thermised"/>
    <x v="1"/>
    <s v="Jensen Cheese (Wilton Cheese Factory)"/>
    <x v="1"/>
    <s v="Ontario"/>
  </r>
  <r>
    <n v="1888"/>
    <s v="QC"/>
    <x v="8"/>
    <x v="0"/>
    <n v="29"/>
    <s v=""/>
    <s v=""/>
    <x v="0"/>
    <x v="1"/>
    <x v="1"/>
    <s v="Raw Milk"/>
    <x v="0"/>
    <s v="Belle du Jersey (La)"/>
    <x v="1"/>
    <s v="Qubec"/>
  </r>
  <r>
    <n v="1889"/>
    <s v="QC"/>
    <x v="8"/>
    <x v="0"/>
    <n v="65"/>
    <s v=""/>
    <s v=""/>
    <x v="0"/>
    <x v="1"/>
    <x v="0"/>
    <s v="Raw Milk"/>
    <x v="0"/>
    <s v="Berger du Fjord (Le)"/>
    <x v="1"/>
    <s v="Qubec"/>
  </r>
  <r>
    <n v="1890"/>
    <s v="QC"/>
    <x v="8"/>
    <x v="0"/>
    <n v="37"/>
    <s v=""/>
    <s v="Granular cheese, with numerous little crevices."/>
    <x v="0"/>
    <x v="0"/>
    <x v="1"/>
    <s v="Raw Milk"/>
    <x v="0"/>
    <s v="Jersey du Fjord"/>
    <x v="1"/>
    <s v="Qubec"/>
  </r>
  <r>
    <n v="1892"/>
    <s v="QC"/>
    <x v="8"/>
    <x v="2"/>
    <n v="39"/>
    <s v=""/>
    <s v=""/>
    <x v="0"/>
    <x v="0"/>
    <x v="1"/>
    <s v="Pasteurized"/>
    <x v="3"/>
    <s v="Chénéville"/>
    <x v="1"/>
    <s v="Qubec"/>
  </r>
  <r>
    <n v="1893"/>
    <s v="QC"/>
    <x v="8"/>
    <x v="0"/>
    <n v="45"/>
    <s v="Salted, oil with Provence herbs and black pepper."/>
    <s v=""/>
    <x v="0"/>
    <x v="3"/>
    <x v="2"/>
    <s v="Pasteurized"/>
    <x v="3"/>
    <s v="Bergeronds dans l'huile (Les)"/>
    <x v="0"/>
    <s v="Qubec"/>
  </r>
  <r>
    <n v="1895"/>
    <s v="QC"/>
    <x v="8"/>
    <x v="0"/>
    <n v="55"/>
    <s v="Light taste of goat, butter and cream."/>
    <s v="Creamy"/>
    <x v="0"/>
    <x v="3"/>
    <x v="2"/>
    <s v="Pasteurized"/>
    <x v="3"/>
    <s v="Agate de St-Damien (L')"/>
    <x v="0"/>
    <s v="Qubec"/>
  </r>
  <r>
    <n v="1896"/>
    <s v="QC"/>
    <x v="8"/>
    <x v="0"/>
    <n v="50"/>
    <s v=""/>
    <s v=""/>
    <x v="0"/>
    <x v="3"/>
    <x v="2"/>
    <s v="Pasteurized"/>
    <x v="1"/>
    <s v="Brie de chèvre"/>
    <x v="0"/>
    <s v="Qubec"/>
  </r>
  <r>
    <n v="1897"/>
    <s v="QC"/>
    <x v="8"/>
    <x v="2"/>
    <n v="78"/>
    <s v="Flavours of fresh goat milk, fine and subtle and slightly tart. Available plain, olive oil and garlic, rosemary, tellicherry pepper and lemongrass, unsalted."/>
    <s v="White cheese, creamy and silky texture."/>
    <x v="1"/>
    <x v="3"/>
    <x v="2"/>
    <s v="Pasteurized"/>
    <x v="3"/>
    <s v="Fromage Chèvre frais"/>
    <x v="0"/>
    <s v="Qubec"/>
  </r>
  <r>
    <n v="1898"/>
    <s v="QC"/>
    <x v="8"/>
    <x v="0"/>
    <n v="45"/>
    <s v="Mild and lightly salted."/>
    <s v=""/>
    <x v="0"/>
    <x v="4"/>
    <x v="2"/>
    <s v="Thermised"/>
    <x v="3"/>
    <s v="Féta (Mes Petits Caprices)"/>
    <x v="0"/>
    <s v="Qubec"/>
  </r>
  <r>
    <n v="1899"/>
    <s v="QC"/>
    <x v="8"/>
    <x v="0"/>
    <n v="62"/>
    <s v="Mild, light hint of goat."/>
    <s v=""/>
    <x v="0"/>
    <x v="1"/>
    <x v="2"/>
    <s v="Thermised"/>
    <x v="3"/>
    <s v="Micherolle"/>
    <x v="0"/>
    <s v="Qubec"/>
  </r>
  <r>
    <n v="1900"/>
    <s v="QC"/>
    <x v="8"/>
    <x v="0"/>
    <n v="60"/>
    <s v="Mild and floral taste becoming sharper with age"/>
    <s v=""/>
    <x v="0"/>
    <x v="4"/>
    <x v="2"/>
    <s v="Thermised"/>
    <x v="2"/>
    <s v="Bûchette et Pyramide Mes Petits Caprices"/>
    <x v="0"/>
    <s v="Qubec"/>
  </r>
  <r>
    <n v="1901"/>
    <s v="QC"/>
    <x v="8"/>
    <x v="2"/>
    <n v="56"/>
    <s v="Mild and delicate, becomes slightly tart over time."/>
    <s v=""/>
    <x v="0"/>
    <x v="3"/>
    <x v="1"/>
    <s v="Raw Milk"/>
    <x v="3"/>
    <s v="Péningouin (Le)"/>
    <x v="0"/>
    <s v="Qubec"/>
  </r>
  <r>
    <n v="1902"/>
    <s v="QC"/>
    <x v="8"/>
    <x v="1"/>
    <n v="47"/>
    <s v="Delicate taste of wild mushrooms."/>
    <s v="Supple and creamy, with an amber rind and a light earthy odor."/>
    <x v="0"/>
    <x v="1"/>
    <x v="1"/>
    <s v="Pasteurized"/>
    <x v="0"/>
    <s v="Bocké (Le)"/>
    <x v="0"/>
    <s v="Qubec"/>
  </r>
  <r>
    <n v="1904"/>
    <s v="QC"/>
    <x v="8"/>
    <x v="2"/>
    <n v="64"/>
    <s v=""/>
    <s v=""/>
    <x v="0"/>
    <x v="3"/>
    <x v="0"/>
    <s v="Pasteurized"/>
    <x v="1"/>
    <s v="Agnelle de Bayolle"/>
    <x v="0"/>
    <s v="Qubec"/>
  </r>
  <r>
    <n v="1905"/>
    <s v="QC"/>
    <x v="8"/>
    <x v="2"/>
    <n v="54"/>
    <s v=""/>
    <s v=""/>
    <x v="0"/>
    <x v="4"/>
    <x v="2"/>
    <s v="Pasteurized"/>
    <x v="2"/>
    <s v="Capri-Corne"/>
    <x v="0"/>
    <s v="Qubec"/>
  </r>
  <r>
    <n v="1906"/>
    <s v="QC"/>
    <x v="8"/>
    <x v="2"/>
    <n v="41"/>
    <s v="Plain or fine herbs"/>
    <s v=""/>
    <x v="0"/>
    <x v="0"/>
    <x v="2"/>
    <s v="Pasteurized"/>
    <x v="3"/>
    <s v="Cheddar La Galipette"/>
    <x v="1"/>
    <s v="Qubec"/>
  </r>
  <r>
    <n v="1907"/>
    <s v="QC"/>
    <x v="8"/>
    <x v="2"/>
    <n v="54"/>
    <s v=""/>
    <s v=""/>
    <x v="0"/>
    <x v="4"/>
    <x v="1"/>
    <s v="Pasteurized"/>
    <x v="2"/>
    <s v="Marie-Charlotte"/>
    <x v="0"/>
    <s v="Qubec"/>
  </r>
  <r>
    <n v="1908"/>
    <s v="QC"/>
    <x v="8"/>
    <x v="2"/>
    <n v="69"/>
    <s v=""/>
    <s v=""/>
    <x v="0"/>
    <x v="3"/>
    <x v="2"/>
    <s v="Pasteurized"/>
    <x v="3"/>
    <s v="Mon précieux"/>
    <x v="0"/>
    <s v="Qubec"/>
  </r>
  <r>
    <n v="1909"/>
    <s v="QC"/>
    <x v="8"/>
    <x v="2"/>
    <n v="39"/>
    <s v=""/>
    <s v=""/>
    <x v="0"/>
    <x v="1"/>
    <x v="0"/>
    <s v="Pasteurized"/>
    <x v="0"/>
    <s v="Tomme de brebis (Fromagerie Couland)"/>
    <x v="1"/>
    <s v="Qubec"/>
  </r>
  <r>
    <n v="1910"/>
    <s v="QC"/>
    <x v="8"/>
    <x v="2"/>
    <n v="56"/>
    <s v=""/>
    <s v=""/>
    <x v="0"/>
    <x v="4"/>
    <x v="2"/>
    <s v="Pasteurized"/>
    <x v="2"/>
    <s v="Petite Chevrette (La)"/>
    <x v="0"/>
    <s v="Qubec"/>
  </r>
  <r>
    <n v="1911"/>
    <s v="QC"/>
    <x v="8"/>
    <x v="2"/>
    <n v="41"/>
    <s v="Plain"/>
    <s v=""/>
    <x v="0"/>
    <x v="0"/>
    <x v="0"/>
    <s v="Pasteurized"/>
    <x v="3"/>
    <s v="Brebiane"/>
    <x v="1"/>
    <s v="Qubec"/>
  </r>
  <r>
    <n v="1912"/>
    <s v="QC"/>
    <x v="8"/>
    <x v="2"/>
    <n v="70"/>
    <s v="Plain, fine herbs or spices"/>
    <s v=""/>
    <x v="0"/>
    <x v="3"/>
    <x v="1"/>
    <s v="Pasteurized"/>
    <x v="3"/>
    <s v="Prés de Kildare"/>
    <x v="0"/>
    <s v="Qubec"/>
  </r>
  <r>
    <n v="1913"/>
    <s v="QC"/>
    <x v="8"/>
    <x v="2"/>
    <n v="56"/>
    <s v=""/>
    <s v=""/>
    <x v="0"/>
    <x v="4"/>
    <x v="1"/>
    <s v="Pasteurized"/>
    <x v="2"/>
    <s v="St-Émile"/>
    <x v="0"/>
    <s v="Qubec"/>
  </r>
  <r>
    <n v="1914"/>
    <s v="QC"/>
    <x v="8"/>
    <x v="2"/>
    <n v="56"/>
    <s v=""/>
    <s v=""/>
    <x v="0"/>
    <x v="4"/>
    <x v="0"/>
    <s v="Pasteurized"/>
    <x v="2"/>
    <s v="Ste-Geneviève"/>
    <x v="0"/>
    <s v="Qubec"/>
  </r>
  <r>
    <n v="1915"/>
    <s v="QC"/>
    <x v="8"/>
    <x v="2"/>
    <n v="54"/>
    <s v=""/>
    <s v=""/>
    <x v="0"/>
    <x v="4"/>
    <x v="0"/>
    <s v="Pasteurized"/>
    <x v="2"/>
    <s v="Ste-Élisabeth"/>
    <x v="0"/>
    <s v="Qubec"/>
  </r>
  <r>
    <n v="1916"/>
    <s v="QC"/>
    <x v="8"/>
    <x v="2"/>
    <n v="41"/>
    <s v="Plain"/>
    <s v=""/>
    <x v="0"/>
    <x v="0"/>
    <x v="1"/>
    <s v="Pasteurized"/>
    <x v="3"/>
    <s v="Grain de Bayonne"/>
    <x v="1"/>
    <s v="Qubec"/>
  </r>
  <r>
    <n v="1917"/>
    <s v="QC"/>
    <x v="8"/>
    <x v="2"/>
    <n v="39"/>
    <s v=""/>
    <s v=""/>
    <x v="0"/>
    <x v="1"/>
    <x v="1"/>
    <s v="Pasteurized"/>
    <x v="0"/>
    <s v="Barthélemy (Le)"/>
    <x v="1"/>
    <s v="Qubec"/>
  </r>
  <r>
    <n v="1918"/>
    <s v="QC"/>
    <x v="8"/>
    <x v="2"/>
    <n v="35"/>
    <s v=""/>
    <s v=""/>
    <x v="0"/>
    <x v="0"/>
    <x v="2"/>
    <s v="Pasteurized"/>
    <x v="0"/>
    <s v="Tomme Ferlend"/>
    <x v="1"/>
    <s v="Qubec"/>
  </r>
  <r>
    <n v="1919"/>
    <s v="QC"/>
    <x v="8"/>
    <x v="2"/>
    <n v="64"/>
    <s v="Plain, herbs or spices"/>
    <s v=""/>
    <x v="0"/>
    <x v="1"/>
    <x v="2"/>
    <s v="Pasteurized"/>
    <x v="3"/>
    <s v="Fridolines"/>
    <x v="0"/>
    <s v="Qubec"/>
  </r>
  <r>
    <n v="1920"/>
    <s v="QC"/>
    <x v="8"/>
    <x v="2"/>
    <n v="41"/>
    <s v="Plain"/>
    <s v=""/>
    <x v="0"/>
    <x v="0"/>
    <x v="2"/>
    <s v="Pasteurized"/>
    <x v="3"/>
    <s v="Grain caprin"/>
    <x v="1"/>
    <s v="Qubec"/>
  </r>
  <r>
    <n v="1921"/>
    <s v="QC"/>
    <x v="8"/>
    <x v="2"/>
    <n v="64"/>
    <s v="Plain, fine herbs, spices"/>
    <s v=""/>
    <x v="0"/>
    <x v="3"/>
    <x v="1"/>
    <s v="Pasteurized"/>
    <x v="3"/>
    <s v="Joséphines"/>
    <x v="0"/>
    <s v="Qubec"/>
  </r>
  <r>
    <n v="1922"/>
    <s v="QC"/>
    <x v="8"/>
    <x v="2"/>
    <n v="41"/>
    <s v="Plain, chive, fine herbs or spices"/>
    <s v=""/>
    <x v="0"/>
    <x v="0"/>
    <x v="1"/>
    <s v="Pasteurized"/>
    <x v="1"/>
    <s v="Cheddar (Fromagerie Couland)"/>
    <x v="1"/>
    <s v="Qubec"/>
  </r>
  <r>
    <n v="1923"/>
    <s v="QC"/>
    <x v="8"/>
    <x v="1"/>
    <n v="42"/>
    <s v="Light"/>
    <s v="Orange rind"/>
    <x v="0"/>
    <x v="1"/>
    <x v="1"/>
    <s v="Pasteurized"/>
    <x v="1"/>
    <s v="Saint-Paulin (Des Basques)"/>
    <x v="0"/>
    <s v="Qubec"/>
  </r>
  <r>
    <n v="1924"/>
    <s v="QC"/>
    <x v="8"/>
    <x v="2"/>
    <n v="34"/>
    <s v="Fruit and hazelnut"/>
    <s v="Vegetable ash that goes through the center of the cheese."/>
    <x v="0"/>
    <x v="0"/>
    <x v="1"/>
    <s v="Raw Milk"/>
    <x v="0"/>
    <s v="Sirocco"/>
    <x v="1"/>
    <s v="Qubec"/>
  </r>
  <r>
    <n v="1925"/>
    <s v="QC"/>
    <x v="8"/>
    <x v="2"/>
    <n v="50"/>
    <s v="Cream and green apple"/>
    <s v=""/>
    <x v="0"/>
    <x v="4"/>
    <x v="1"/>
    <s v="Pasteurized"/>
    <x v="2"/>
    <s v="Guillaume Tell (Le)"/>
    <x v="0"/>
    <s v="Qubec"/>
  </r>
  <r>
    <n v="1926"/>
    <s v="QC"/>
    <x v="8"/>
    <x v="0"/>
    <n v="46"/>
    <s v=""/>
    <s v=""/>
    <x v="0"/>
    <x v="1"/>
    <x v="1"/>
    <s v="Thermised"/>
    <x v="0"/>
    <s v="Raclette de Joliette (La)"/>
    <x v="0"/>
    <s v="Qubec"/>
  </r>
  <r>
    <n v="1928"/>
    <s v="QC"/>
    <x v="8"/>
    <x v="0"/>
    <n v="50"/>
    <s v="Very soft and light, comparable to a brie."/>
    <s v=""/>
    <x v="0"/>
    <x v="4"/>
    <x v="1"/>
    <s v="Pasteurized"/>
    <x v="2"/>
    <s v="Perle du Littoral (La)"/>
    <x v="1"/>
    <s v="Qubec"/>
  </r>
  <r>
    <n v="1929"/>
    <s v="QC"/>
    <x v="8"/>
    <x v="0"/>
    <n v="50"/>
    <s v=""/>
    <s v="Contains probiotics"/>
    <x v="0"/>
    <x v="1"/>
    <x v="1"/>
    <s v="Pasteurized"/>
    <x v="1"/>
    <s v="Rayon d'or"/>
    <x v="0"/>
    <s v="Qubec"/>
  </r>
  <r>
    <n v="1930"/>
    <s v="QC"/>
    <x v="8"/>
    <x v="2"/>
    <n v="48"/>
    <s v="Light taste of butter"/>
    <s v="Creamy"/>
    <x v="0"/>
    <x v="4"/>
    <x v="1"/>
    <s v="Raw Milk"/>
    <x v="2"/>
    <s v="Caprice des vents"/>
    <x v="1"/>
    <s v="Qubec"/>
  </r>
  <r>
    <n v="1931"/>
    <s v="QC"/>
    <x v="8"/>
    <x v="2"/>
    <n v="57"/>
    <s v="Mild"/>
    <s v="Ash rind with a chalky and creamy texture"/>
    <x v="0"/>
    <x v="4"/>
    <x v="2"/>
    <s v="Pasteurized"/>
    <x v="2"/>
    <s v="Grey Owl"/>
    <x v="0"/>
    <s v="Qubec"/>
  </r>
  <r>
    <n v="1934"/>
    <s v="QC"/>
    <x v="8"/>
    <x v="2"/>
    <n v="41"/>
    <s v="Mild"/>
    <s v="Fresh cheddar, in blocks or with grains"/>
    <x v="0"/>
    <x v="0"/>
    <x v="1"/>
    <s v="Pasteurized"/>
    <x v="3"/>
    <s v="Cheddar en grains (SCA L'île-aux-Grues)"/>
    <x v="1"/>
    <s v="Qubec"/>
  </r>
  <r>
    <n v="1936"/>
    <s v="QC"/>
    <x v="8"/>
    <x v="2"/>
    <n v="65"/>
    <s v="Mild"/>
    <s v="Creamy"/>
    <x v="0"/>
    <x v="3"/>
    <x v="0"/>
    <s v="Pasteurized"/>
    <x v="3"/>
    <s v="Myzithra"/>
    <x v="0"/>
    <s v="Qubec"/>
  </r>
  <r>
    <n v="1939"/>
    <s v="QC"/>
    <x v="8"/>
    <x v="0"/>
    <n v="35"/>
    <s v="Hazelnut, fruity"/>
    <s v=""/>
    <x v="1"/>
    <x v="0"/>
    <x v="1"/>
    <s v="Raw Milk"/>
    <x v="0"/>
    <s v="Louis d'Or"/>
    <x v="1"/>
    <s v="Qubec"/>
  </r>
  <r>
    <n v="1940"/>
    <s v="QC"/>
    <x v="8"/>
    <x v="2"/>
    <n v="43"/>
    <s v="Taste of lightly sweetened goat's milk."/>
    <s v=""/>
    <x v="0"/>
    <x v="0"/>
    <x v="2"/>
    <s v="Pasteurized"/>
    <x v="1"/>
    <s v="Moutier (Le)"/>
    <x v="0"/>
    <s v="Qubec"/>
  </r>
  <r>
    <n v="1941"/>
    <s v="QC"/>
    <x v="8"/>
    <x v="2"/>
    <n v="50"/>
    <s v="Fresh milk and butter flavour."/>
    <s v="Creamy"/>
    <x v="0"/>
    <x v="4"/>
    <x v="1"/>
    <s v="Pasteurized"/>
    <x v="0"/>
    <s v="Ange Gardien (L')"/>
    <x v="0"/>
    <s v="Qubec"/>
  </r>
  <r>
    <n v="1942"/>
    <s v="ON"/>
    <x v="1"/>
    <x v="2"/>
    <n v="42.8"/>
    <s v=""/>
    <s v=""/>
    <x v="1"/>
    <x v="6"/>
    <x v="1"/>
    <s v="Pasteurized"/>
    <x v="0"/>
    <s v="Rose Haus"/>
    <x v="0"/>
    <s v="Ontario"/>
  </r>
  <r>
    <n v="1944"/>
    <s v="QC"/>
    <x v="8"/>
    <x v="1"/>
    <n v="64"/>
    <s v=""/>
    <s v="Creamy and fresh, this delicious locally-made cheese offers the traditional taste of Italy."/>
    <x v="0"/>
    <x v="3"/>
    <x v="6"/>
    <s v="Pasteurized"/>
    <x v="3"/>
    <s v="Mozzarina di Bufala"/>
    <x v="0"/>
    <s v="Qubec"/>
  </r>
  <r>
    <n v="1945"/>
    <s v="QC"/>
    <x v="8"/>
    <x v="1"/>
    <n v="80"/>
    <s v="Fresh, rich milky taste"/>
    <s v="Pasta filata cheese, smooth and creamy texture"/>
    <x v="0"/>
    <x v="3"/>
    <x v="6"/>
    <s v="Pasteurized"/>
    <x v="3"/>
    <s v="Bocconcini (Fiorella)"/>
    <x v="0"/>
    <s v="Qubec"/>
  </r>
  <r>
    <n v="1950"/>
    <s v="QC"/>
    <x v="8"/>
    <x v="1"/>
    <n v="48"/>
    <s v=""/>
    <s v="A white, rich and creamy body"/>
    <x v="0"/>
    <x v="4"/>
    <x v="3"/>
    <s v="Pasteurized"/>
    <x v="3"/>
    <s v="Chèvre des Neiges (brie triple crème)"/>
    <x v="1"/>
    <s v="Qubec"/>
  </r>
  <r>
    <n v="1951"/>
    <s v="QC"/>
    <x v="8"/>
    <x v="1"/>
    <n v="70"/>
    <s v="Available in plain, Peppadew and garlic and fine herbs"/>
    <s v="Soft spreadable cheese"/>
    <x v="0"/>
    <x v="3"/>
    <x v="2"/>
    <s v="Pasteurized"/>
    <x v="3"/>
    <s v="Caprichef"/>
    <x v="0"/>
    <s v="Qubec"/>
  </r>
  <r>
    <n v="1952"/>
    <s v="QC"/>
    <x v="8"/>
    <x v="1"/>
    <n v="50"/>
    <s v="Fresh butter, nut and corn taste"/>
    <s v=""/>
    <x v="0"/>
    <x v="4"/>
    <x v="1"/>
    <s v="Pasteurized"/>
    <x v="2"/>
    <s v="Camarades (Des)"/>
    <x v="1"/>
    <s v="Qubec"/>
  </r>
  <r>
    <n v="1954"/>
    <s v="QC"/>
    <x v="8"/>
    <x v="1"/>
    <n v="45"/>
    <s v="A delicate and fruit flavoured"/>
    <s v="Small holes in the body"/>
    <x v="0"/>
    <x v="0"/>
    <x v="1"/>
    <s v="Pasteurized"/>
    <x v="1"/>
    <s v="Tilsit"/>
    <x v="0"/>
    <s v="Qubec"/>
  </r>
  <r>
    <n v="1956"/>
    <s v="QC"/>
    <x v="8"/>
    <x v="1"/>
    <n v="55"/>
    <s v="It's lightly salty and tangy taste gives it a distinct flavour"/>
    <s v="I'ts whitish body is soft, creamy, fine in texture and crumbly.  It comes immersed in a brine solution"/>
    <x v="0"/>
    <x v="4"/>
    <x v="2"/>
    <s v="Pasteurized"/>
    <x v="3"/>
    <s v="Feta de chèvre (Alexis de Portneuf)"/>
    <x v="0"/>
    <s v="Qubec"/>
  </r>
  <r>
    <n v="1957"/>
    <s v="QC"/>
    <x v="8"/>
    <x v="1"/>
    <n v="23"/>
    <s v="Slightly salty and tangy taste"/>
    <s v="Pâte blanchâtre douce, crémeuse, finement texturée et friable, immergé dans la saumure"/>
    <x v="0"/>
    <x v="4"/>
    <x v="0"/>
    <s v="Pasteurized"/>
    <x v="3"/>
    <s v="Feta de brebis (Alexis de Portneuf)"/>
    <x v="1"/>
    <s v="Qubec"/>
  </r>
  <r>
    <n v="1958"/>
    <s v="QC"/>
    <x v="8"/>
    <x v="1"/>
    <n v="52"/>
    <s v="Fresh subtle taste of oriental spices and exotic flavourings"/>
    <s v="It is quite firm and dense, not very porous and milky white in color"/>
    <x v="0"/>
    <x v="3"/>
    <x v="1"/>
    <s v="Pasteurized"/>
    <x v="3"/>
    <s v="doré-mi"/>
    <x v="0"/>
    <s v="Qubec"/>
  </r>
  <r>
    <n v="1959"/>
    <s v="QC"/>
    <x v="8"/>
    <x v="1"/>
    <n v="20"/>
    <s v="A hazelnut taste accompanied by a woody fruity touch"/>
    <s v="Orangy-red, hardly moist rind and a supple ivory body"/>
    <x v="0"/>
    <x v="4"/>
    <x v="1"/>
    <s v="Pasteurized"/>
    <x v="0"/>
    <s v="Saint-Raymond (Le)"/>
    <x v="1"/>
    <s v="Qubec"/>
  </r>
  <r>
    <n v="1960"/>
    <s v="QC"/>
    <x v="8"/>
    <x v="1"/>
    <n v="52"/>
    <s v="Fresh butter taste with a hint of mushrooms"/>
    <s v="Cheese with a moist and supple rind that ripens from the outside in and a runny ivory body"/>
    <x v="0"/>
    <x v="4"/>
    <x v="1"/>
    <s v="Pasteurized"/>
    <x v="1"/>
    <s v="Sauvagine (La)"/>
    <x v="1"/>
    <s v="Qubec"/>
  </r>
  <r>
    <n v="1961"/>
    <s v="QC"/>
    <x v="8"/>
    <x v="1"/>
    <n v="45"/>
    <s v="Mild tasting"/>
    <s v="An ivory coloured cheese delicately laced with Penicillium Roqueforti and covered in a white coat"/>
    <x v="0"/>
    <x v="2"/>
    <x v="1"/>
    <s v="Raw Milk"/>
    <x v="2"/>
    <s v="Caronzola"/>
    <x v="1"/>
    <s v="Qubec"/>
  </r>
  <r>
    <n v="1962"/>
    <s v="QC"/>
    <x v="8"/>
    <x v="1"/>
    <n v="37"/>
    <s v="Delicate blue taste and creamy flavour"/>
    <s v="Creamy and supple unique textured blue-veined body"/>
    <x v="0"/>
    <x v="2"/>
    <x v="1"/>
    <s v="Pasteurized"/>
    <x v="1"/>
    <s v="Météorite"/>
    <x v="1"/>
    <s v="Qubec"/>
  </r>
  <r>
    <n v="1963"/>
    <s v="QC"/>
    <x v="8"/>
    <x v="1"/>
    <n v="48"/>
    <s v="A strong blue"/>
    <s v="A firm cheese with delicate blue veins of Penicillium roqueforti and a melt in your mouth quality"/>
    <x v="0"/>
    <x v="2"/>
    <x v="1"/>
    <s v="Pasteurized"/>
    <x v="1"/>
    <s v="Roche Noire (La)"/>
    <x v="0"/>
    <s v="Qubec"/>
  </r>
  <r>
    <n v="1964"/>
    <s v="QC"/>
    <x v="8"/>
    <x v="1"/>
    <n v="40"/>
    <s v="Has a nut taste"/>
    <s v="Smooth and flexible surface with round eyes distributed in the body"/>
    <x v="0"/>
    <x v="0"/>
    <x v="1"/>
    <s v="Pasteurized"/>
    <x v="3"/>
    <s v="Emmental St-Guillaume"/>
    <x v="0"/>
    <s v="Qubec"/>
  </r>
  <r>
    <n v="1965"/>
    <s v="QC"/>
    <x v="8"/>
    <x v="1"/>
    <n v="39"/>
    <s v="Strong notes of butter and caramel"/>
    <s v="Surface ripened, it has a supple and smooth texture"/>
    <x v="0"/>
    <x v="0"/>
    <x v="1"/>
    <s v="Pasteurized"/>
    <x v="0"/>
    <s v="Cantolait"/>
    <x v="1"/>
    <s v="Qubec"/>
  </r>
  <r>
    <n v="1966"/>
    <s v="QC"/>
    <x v="8"/>
    <x v="0"/>
    <n v="52"/>
    <s v="Flavours of warm cream with a vegetable note"/>
    <s v="Has a smooth, melting paste"/>
    <x v="1"/>
    <x v="4"/>
    <x v="1"/>
    <s v="Pasteurized"/>
    <x v="2"/>
    <s v="Brie Paysan"/>
    <x v="0"/>
    <s v="Qubec"/>
  </r>
  <r>
    <n v="1967"/>
    <s v="QC"/>
    <x v="8"/>
    <x v="0"/>
    <n v="50"/>
    <s v="Exquisite creamy mushroom flavor"/>
    <s v="Melting paste"/>
    <x v="1"/>
    <x v="4"/>
    <x v="1"/>
    <s v="Pasteurized"/>
    <x v="2"/>
    <s v="Laliberté (triple crème)"/>
    <x v="1"/>
    <s v="Qubec"/>
  </r>
  <r>
    <n v="1974"/>
    <s v="ON"/>
    <x v="1"/>
    <x v="1"/>
    <n v="38"/>
    <s v="A complexity of flavours ranging form salty to sweet and an overall tangy freshness with a creamy finish"/>
    <s v="Has a creamy, smooth texture"/>
    <x v="0"/>
    <x v="6"/>
    <x v="1"/>
    <s v="Pasteurized"/>
    <x v="1"/>
    <s v="Devil's Rock (Creamy Blue Cheese)"/>
    <x v="1"/>
    <s v="Ontario"/>
  </r>
  <r>
    <n v="1975"/>
    <s v="ON"/>
    <x v="1"/>
    <x v="1"/>
    <n v="42"/>
    <s v="Creamy sharp taste"/>
    <s v="Creamy cheese marbled with rich blue veins"/>
    <x v="0"/>
    <x v="2"/>
    <x v="1"/>
    <s v="Pasteurized"/>
    <x v="1"/>
    <s v="Casey (Blue Cheese)"/>
    <x v="0"/>
    <s v="Ontario"/>
  </r>
  <r>
    <n v="1976"/>
    <s v="ON"/>
    <x v="1"/>
    <x v="1"/>
    <n v="42"/>
    <s v="Sharp taste"/>
    <s v="Is a goat cheese with blue veining"/>
    <x v="0"/>
    <x v="2"/>
    <x v="2"/>
    <s v="Pasteurized"/>
    <x v="1"/>
    <s v="Harley (Blue Goat Cheese)"/>
    <x v="0"/>
    <s v="Ontario"/>
  </r>
  <r>
    <n v="1977"/>
    <s v="ON"/>
    <x v="1"/>
    <x v="1"/>
    <n v="37"/>
    <s v="Has a sharp robust flavour"/>
    <s v="Creamy white body"/>
    <x v="0"/>
    <x v="5"/>
    <x v="2"/>
    <s v=""/>
    <x v="1"/>
    <s v="Charlton"/>
    <x v="1"/>
    <s v="Ontario"/>
  </r>
  <r>
    <n v="1978"/>
    <s v="ON"/>
    <x v="1"/>
    <x v="1"/>
    <n v="46"/>
    <s v="Creamy mushroom flavour"/>
    <s v="Has a striking streak of vegetable ash running through it"/>
    <x v="0"/>
    <x v="4"/>
    <x v="1"/>
    <s v=""/>
    <x v="2"/>
    <s v="Evanturel"/>
    <x v="0"/>
    <s v="Ontario"/>
  </r>
  <r>
    <n v="1979"/>
    <s v="ON"/>
    <x v="1"/>
    <x v="1"/>
    <n v="40"/>
    <s v="Flavourful cheese that is slightly sharp, yet mellow and creamy"/>
    <s v="Has a golden yellow body with small eyes"/>
    <x v="0"/>
    <x v="4"/>
    <x v="1"/>
    <s v=""/>
    <x v="1"/>
    <s v="Temiskaming"/>
    <x v="0"/>
    <s v="Ontario"/>
  </r>
  <r>
    <n v="1981"/>
    <s v="ON"/>
    <x v="1"/>
    <x v="0"/>
    <n v="65"/>
    <s v="It comes in plain, mango chutney and pesto"/>
    <s v="Soft and spreadable goat cheese"/>
    <x v="0"/>
    <x v="4"/>
    <x v="2"/>
    <s v="Pasteurized"/>
    <x v="3"/>
    <s v="Goat Cups (Celebrity International)"/>
    <x v="0"/>
    <s v="Ontario"/>
  </r>
  <r>
    <n v="1982"/>
    <s v="ON"/>
    <x v="1"/>
    <x v="0"/>
    <n v="46"/>
    <s v="Mediterranean style"/>
    <s v=""/>
    <x v="0"/>
    <x v="0"/>
    <x v="2"/>
    <s v="Pasteurized"/>
    <x v="3"/>
    <s v="Goat Feta (Celebrity International)"/>
    <x v="0"/>
    <s v="Ontario"/>
  </r>
  <r>
    <n v="1983"/>
    <s v="ON"/>
    <x v="1"/>
    <x v="0"/>
    <n v="40"/>
    <s v=""/>
    <s v=""/>
    <x v="0"/>
    <x v="5"/>
    <x v="2"/>
    <s v="Pasteurized"/>
    <x v="3"/>
    <s v="Goat Mozzarella (Celebrity Interantional)"/>
    <x v="1"/>
    <s v="Ontario"/>
  </r>
  <r>
    <n v="1992"/>
    <s v="QC"/>
    <x v="8"/>
    <x v="0"/>
    <n v="46"/>
    <s v="Creamy lactic flavour"/>
    <s v=""/>
    <x v="0"/>
    <x v="1"/>
    <x v="1"/>
    <s v="Thermised"/>
    <x v="0"/>
    <s v="Métayères (Les)"/>
    <x v="0"/>
    <s v="Qubec"/>
  </r>
  <r>
    <n v="1993"/>
    <s v="QC"/>
    <x v="8"/>
    <x v="0"/>
    <n v="46"/>
    <s v="Fruit and nut flavour"/>
    <s v=""/>
    <x v="0"/>
    <x v="1"/>
    <x v="1"/>
    <s v="Thermised"/>
    <x v="1"/>
    <s v="Amateur (L')"/>
    <x v="0"/>
    <s v="Qubec"/>
  </r>
  <r>
    <n v="1994"/>
    <s v="QC"/>
    <x v="8"/>
    <x v="2"/>
    <n v="63"/>
    <s v="It comes in the following flavors: plain, herbed or roasted red peppers"/>
    <s v="Cream cheese"/>
    <x v="0"/>
    <x v="4"/>
    <x v="0"/>
    <s v="Pasteurized"/>
    <x v="3"/>
    <s v="Petite Folie (La)"/>
    <x v="0"/>
    <s v="Qubec"/>
  </r>
  <r>
    <n v="1995"/>
    <s v="QC"/>
    <x v="8"/>
    <x v="1"/>
    <n v="48"/>
    <s v="Butter flavour"/>
    <s v=""/>
    <x v="0"/>
    <x v="4"/>
    <x v="1"/>
    <s v=""/>
    <x v="0"/>
    <s v="Tentation de Laurier (La)"/>
    <x v="1"/>
    <s v="Qubec"/>
  </r>
  <r>
    <n v="1996"/>
    <s v="QC"/>
    <x v="8"/>
    <x v="2"/>
    <n v="50"/>
    <s v="A mild taste of almonds"/>
    <s v=""/>
    <x v="0"/>
    <x v="1"/>
    <x v="3"/>
    <s v=""/>
    <x v="0"/>
    <s v="Tomme de Monsieur Séguin (La)"/>
    <x v="0"/>
    <s v="Qubec"/>
  </r>
  <r>
    <n v="1997"/>
    <s v="QC"/>
    <x v="8"/>
    <x v="2"/>
    <n v="44"/>
    <s v="A hazelnut and salted butter flavour"/>
    <s v=""/>
    <x v="0"/>
    <x v="0"/>
    <x v="1"/>
    <s v=""/>
    <x v="0"/>
    <s v="Vacherin Fri-Charco"/>
    <x v="0"/>
    <s v="Qubec"/>
  </r>
  <r>
    <n v="1999"/>
    <s v="QC"/>
    <x v="8"/>
    <x v="2"/>
    <n v="55"/>
    <s v="Mild cheese with a fresh creme taste"/>
    <s v="Melting texture"/>
    <x v="0"/>
    <x v="4"/>
    <x v="1"/>
    <s v="Pasteurized"/>
    <x v="2"/>
    <s v="Angelus"/>
    <x v="0"/>
    <s v="Qubec"/>
  </r>
  <r>
    <n v="2000"/>
    <s v="QC"/>
    <x v="8"/>
    <x v="2"/>
    <n v="61"/>
    <s v="Varies from one season to the next"/>
    <s v="Silky paste softens with time and its rind may show a dot of blue on the surface"/>
    <x v="1"/>
    <x v="4"/>
    <x v="1"/>
    <s v=""/>
    <x v="2"/>
    <s v="Pont Blanc (Le)"/>
    <x v="0"/>
    <s v="Qubec"/>
  </r>
  <r>
    <n v="2001"/>
    <s v="QC"/>
    <x v="8"/>
    <x v="1"/>
    <n v="37"/>
    <s v="Hazelnut flavour"/>
    <s v=""/>
    <x v="0"/>
    <x v="0"/>
    <x v="1"/>
    <s v=""/>
    <x v="3"/>
    <s v="Grand Cheddar Réserve Spéciale"/>
    <x v="1"/>
    <s v="Qubec"/>
  </r>
  <r>
    <n v="2002"/>
    <s v="QC"/>
    <x v="8"/>
    <x v="1"/>
    <n v="50"/>
    <s v=""/>
    <s v=""/>
    <x v="0"/>
    <x v="4"/>
    <x v="1"/>
    <s v=""/>
    <x v="2"/>
    <s v="Brie 4 Temps"/>
    <x v="1"/>
    <s v="Qubec"/>
  </r>
  <r>
    <n v="2003"/>
    <s v="QC"/>
    <x v="8"/>
    <x v="1"/>
    <n v="50"/>
    <s v=""/>
    <s v=""/>
    <x v="0"/>
    <x v="4"/>
    <x v="1"/>
    <s v=""/>
    <x v="2"/>
    <s v="Camembert Petit Champlain (Le)"/>
    <x v="0"/>
    <s v="Qubec"/>
  </r>
  <r>
    <n v="2006"/>
    <s v="QC"/>
    <x v="8"/>
    <x v="2"/>
    <n v="50"/>
    <s v="Farm cream taste"/>
    <s v=""/>
    <x v="0"/>
    <x v="4"/>
    <x v="1"/>
    <s v=""/>
    <x v="2"/>
    <s v="Inspiré"/>
    <x v="0"/>
    <s v="Qubec"/>
  </r>
  <r>
    <n v="2007"/>
    <s v="QC"/>
    <x v="8"/>
    <x v="0"/>
    <n v="42"/>
    <s v="Hazelnut flavour"/>
    <s v=""/>
    <x v="0"/>
    <x v="0"/>
    <x v="1"/>
    <s v="Pasteurized"/>
    <x v="3"/>
    <s v="Cheddar Littoral"/>
    <x v="1"/>
    <s v="Qubec"/>
  </r>
  <r>
    <n v="2008"/>
    <s v="QC"/>
    <x v="8"/>
    <x v="2"/>
    <n v="48"/>
    <s v="Mild flavour of scapes"/>
    <s v="Keeps it's initial shape and does not melt."/>
    <x v="0"/>
    <x v="0"/>
    <x v="1"/>
    <s v="Pasteurized"/>
    <x v="2"/>
    <s v="Fleur Saint-Michel"/>
    <x v="0"/>
    <s v="Qubec"/>
  </r>
  <r>
    <n v="2009"/>
    <s v="QC"/>
    <x v="8"/>
    <x v="2"/>
    <n v="43"/>
    <s v="Mild cheddar seasoned with fine herbs"/>
    <s v=""/>
    <x v="0"/>
    <x v="0"/>
    <x v="1"/>
    <s v="Pasteurized"/>
    <x v="3"/>
    <s v="Honfleur"/>
    <x v="1"/>
    <s v="Qubec"/>
  </r>
  <r>
    <n v="2010"/>
    <s v="QC"/>
    <x v="8"/>
    <x v="2"/>
    <n v="38"/>
    <s v=""/>
    <s v="Mild cheddar smoked with maple wood"/>
    <x v="0"/>
    <x v="0"/>
    <x v="1"/>
    <s v="Pasteurized"/>
    <x v="3"/>
    <s v="P'tit Bronzé"/>
    <x v="1"/>
    <s v="Qubec"/>
  </r>
  <r>
    <n v="2011"/>
    <s v="QC"/>
    <x v="8"/>
    <x v="2"/>
    <n v="43"/>
    <s v=""/>
    <s v=""/>
    <x v="0"/>
    <x v="0"/>
    <x v="1"/>
    <s v="Pasteurized"/>
    <x v="3"/>
    <s v="St-Charles"/>
    <x v="1"/>
    <s v="Qubec"/>
  </r>
  <r>
    <n v="2012"/>
    <s v="QC"/>
    <x v="8"/>
    <x v="2"/>
    <n v="48"/>
    <s v=""/>
    <s v="Keeps it's original shape and does not melt"/>
    <x v="0"/>
    <x v="0"/>
    <x v="1"/>
    <s v="Pasteurized"/>
    <x v="2"/>
    <s v="St-Valier (Le)"/>
    <x v="0"/>
    <s v="Qubec"/>
  </r>
  <r>
    <n v="2013"/>
    <s v="QC"/>
    <x v="8"/>
    <x v="0"/>
    <n v="46"/>
    <s v="Subtle butter and almond flavours"/>
    <s v="This supple cheese is ivory coloured and has a pleasing elaticity"/>
    <x v="0"/>
    <x v="1"/>
    <x v="1"/>
    <s v="Pasteurized"/>
    <x v="2"/>
    <s v="ChamPaître (Le)"/>
    <x v="0"/>
    <s v="Qubec"/>
  </r>
  <r>
    <n v="2014"/>
    <s v="QC"/>
    <x v="8"/>
    <x v="0"/>
    <n v="46"/>
    <s v="Fruity flavour compemented by hint of sugar and hazelnut"/>
    <s v="La croûte est de couleur blé, sa pâte est souple et parsemée de petits yeux ronds"/>
    <x v="0"/>
    <x v="1"/>
    <x v="1"/>
    <s v="Pasteurized"/>
    <x v="1"/>
    <s v="Clef des Champs (La)"/>
    <x v="0"/>
    <s v="Qubec"/>
  </r>
  <r>
    <n v="2015"/>
    <s v="QC"/>
    <x v="8"/>
    <x v="2"/>
    <n v="45"/>
    <s v="It's flavour is reminiscent of Parmesan and Emmental cheeses, with a slightly citrusy aftertaste"/>
    <s v="It's texture is elastic and the rind is caramel coloured"/>
    <x v="0"/>
    <x v="0"/>
    <x v="1"/>
    <s v="Raw Milk"/>
    <x v="1"/>
    <s v="Roy Léo"/>
    <x v="0"/>
    <s v="Qubec"/>
  </r>
  <r>
    <n v="2016"/>
    <s v="QC"/>
    <x v="8"/>
    <x v="2"/>
    <n v="48"/>
    <s v="Hints of fresh cream and salted butter, with a flavour of black olives"/>
    <s v=""/>
    <x v="1"/>
    <x v="4"/>
    <x v="1"/>
    <s v="Raw Milk"/>
    <x v="0"/>
    <s v="Ste-Anne"/>
    <x v="0"/>
    <s v="Qubec"/>
  </r>
  <r>
    <n v="2017"/>
    <s v="QC"/>
    <x v="8"/>
    <x v="0"/>
    <n v="45"/>
    <s v="Available in the folowing flavours: scapes, dried tomatoes and basil and spices"/>
    <s v=""/>
    <x v="0"/>
    <x v="0"/>
    <x v="1"/>
    <s v="Pasteurized"/>
    <x v="1"/>
    <s v="Normandinoise (Le)"/>
    <x v="1"/>
    <s v="Qubec"/>
  </r>
  <r>
    <n v="2018"/>
    <s v="QC"/>
    <x v="8"/>
    <x v="0"/>
    <n v="39"/>
    <s v=""/>
    <s v=""/>
    <x v="0"/>
    <x v="0"/>
    <x v="1"/>
    <s v="Pasteurized"/>
    <x v="1"/>
    <s v="Roméo (Le)"/>
    <x v="1"/>
    <s v="Qubec"/>
  </r>
  <r>
    <n v="2019"/>
    <s v="QC"/>
    <x v="8"/>
    <x v="0"/>
    <n v="41"/>
    <s v="Distinct floral and fruity aromas"/>
    <s v=""/>
    <x v="1"/>
    <x v="0"/>
    <x v="1"/>
    <s v="Thermised"/>
    <x v="1"/>
    <s v="Chemin Hatley"/>
    <x v="1"/>
    <s v="Qubec"/>
  </r>
  <r>
    <n v="2020"/>
    <s v="QC"/>
    <x v="8"/>
    <x v="0"/>
    <n v="43"/>
    <s v="Aroma of crab apples and butter"/>
    <s v="Copper coloured with an ivory-gold interior"/>
    <x v="1"/>
    <x v="1"/>
    <x v="1"/>
    <s v="Thermised"/>
    <x v="1"/>
    <s v="Comtomme"/>
    <x v="1"/>
    <s v="Qubec"/>
  </r>
  <r>
    <n v="2022"/>
    <s v="QC"/>
    <x v="8"/>
    <x v="2"/>
    <n v="54"/>
    <s v="Fresh buttery taste with a touch of tartness"/>
    <s v="Dense white rind with a creamy, runny texture"/>
    <x v="0"/>
    <x v="4"/>
    <x v="1"/>
    <s v="Pasteurized"/>
    <x v="1"/>
    <s v="Mélo Dieux (Le)"/>
    <x v="0"/>
    <s v="Qubec"/>
  </r>
  <r>
    <n v="2023"/>
    <s v="QC"/>
    <x v="8"/>
    <x v="2"/>
    <n v="46"/>
    <s v="Mild salty, buttery taste"/>
    <s v="Supple, ivry coloured with a pink waxed rind"/>
    <x v="0"/>
    <x v="1"/>
    <x v="1"/>
    <s v="Pasteurized"/>
    <x v="1"/>
    <s v="Rose"/>
    <x v="0"/>
    <s v="Qubec"/>
  </r>
  <r>
    <n v="2024"/>
    <s v="QC"/>
    <x v="8"/>
    <x v="2"/>
    <n v="55"/>
    <s v="Mild flavour of hazelnuts, mushrooms and butter"/>
    <s v=""/>
    <x v="0"/>
    <x v="4"/>
    <x v="1"/>
    <s v="Pasteurized"/>
    <x v="1"/>
    <s v="Brie Mont-Laurier"/>
    <x v="0"/>
    <s v="Qubec"/>
  </r>
  <r>
    <n v="2025"/>
    <s v="QC"/>
    <x v="8"/>
    <x v="2"/>
    <n v="45"/>
    <s v="Light nutty flavour"/>
    <s v=""/>
    <x v="0"/>
    <x v="1"/>
    <x v="1"/>
    <s v="Pasteurized"/>
    <x v="1"/>
    <s v="Voyageur (Le)"/>
    <x v="0"/>
    <s v="Qubec"/>
  </r>
  <r>
    <n v="2026"/>
    <s v="QC"/>
    <x v="8"/>
    <x v="1"/>
    <n v="39"/>
    <s v="Fruity taste"/>
    <s v=""/>
    <x v="0"/>
    <x v="0"/>
    <x v="1"/>
    <s v="Pasteurized"/>
    <x v="3"/>
    <s v="Pâturage (le)"/>
    <x v="1"/>
    <s v="Qubec"/>
  </r>
  <r>
    <n v="2027"/>
    <s v="QC"/>
    <x v="8"/>
    <x v="2"/>
    <n v="44"/>
    <s v=""/>
    <s v=""/>
    <x v="0"/>
    <x v="1"/>
    <x v="1"/>
    <s v="Pasteurized"/>
    <x v="1"/>
    <s v="Belle-Mère (La)"/>
    <x v="1"/>
    <s v="Qubec"/>
  </r>
  <r>
    <n v="2028"/>
    <s v="QC"/>
    <x v="8"/>
    <x v="2"/>
    <n v="68"/>
    <s v=""/>
    <s v=""/>
    <x v="0"/>
    <x v="3"/>
    <x v="1"/>
    <s v=""/>
    <x v="1"/>
    <s v="Cabrouet (Le)"/>
    <x v="0"/>
    <s v="Qubec"/>
  </r>
  <r>
    <n v="2029"/>
    <s v="QC"/>
    <x v="8"/>
    <x v="1"/>
    <n v="40"/>
    <s v=""/>
    <s v=""/>
    <x v="0"/>
    <x v="0"/>
    <x v="1"/>
    <s v="Pasteurized"/>
    <x v="1"/>
    <s v="Belle Brune de Charlevoix"/>
    <x v="0"/>
    <s v="Qubec"/>
  </r>
  <r>
    <n v="2030"/>
    <s v="QC"/>
    <x v="8"/>
    <x v="1"/>
    <n v="44"/>
    <s v=""/>
    <s v="Soft orange colour with a smooth and creamy texture"/>
    <x v="0"/>
    <x v="0"/>
    <x v="1"/>
    <s v="Pasteurized"/>
    <x v="3"/>
    <s v="Oh Chiiz"/>
    <x v="0"/>
    <s v="Qubec"/>
  </r>
  <r>
    <n v="2031"/>
    <s v="QC"/>
    <x v="8"/>
    <x v="1"/>
    <n v="46"/>
    <s v="Subtle buttery flavour"/>
    <s v=""/>
    <x v="0"/>
    <x v="1"/>
    <x v="1"/>
    <s v="Pasteurized"/>
    <x v="3"/>
    <s v="Polichinel (Le)"/>
    <x v="0"/>
    <s v="Qubec"/>
  </r>
  <r>
    <n v="2032"/>
    <s v="AB"/>
    <x v="3"/>
    <x v="1"/>
    <n v="53"/>
    <s v=""/>
    <s v=""/>
    <x v="0"/>
    <x v="3"/>
    <x v="1"/>
    <s v="Pasteurized"/>
    <x v="3"/>
    <s v="Bocconcini (Franco's Brand)"/>
    <x v="0"/>
    <s v="Alberta"/>
  </r>
  <r>
    <n v="2033"/>
    <s v="QC"/>
    <x v="8"/>
    <x v="1"/>
    <n v="50"/>
    <s v="Butter tast with a light touch of goat cream"/>
    <s v="Made from 50% goat milk and 50% cow milk"/>
    <x v="0"/>
    <x v="6"/>
    <x v="3"/>
    <s v=""/>
    <x v="1"/>
    <s v="Double Joie (Le)"/>
    <x v="0"/>
    <s v="Qubec"/>
  </r>
  <r>
    <n v="2034"/>
    <s v="QC"/>
    <x v="8"/>
    <x v="2"/>
    <n v="38"/>
    <s v="Hazelnut flavour with a hint of fruit and cream"/>
    <s v="It has a thin ochre coloured crust and ivory body"/>
    <x v="0"/>
    <x v="0"/>
    <x v="1"/>
    <s v="Thermised"/>
    <x v="1"/>
    <s v="Canotier de l'Isle"/>
    <x v="1"/>
    <s v="Qubec"/>
  </r>
  <r>
    <n v="2035"/>
    <s v="QC"/>
    <x v="8"/>
    <x v="0"/>
    <n v="43"/>
    <s v=""/>
    <s v=""/>
    <x v="0"/>
    <x v="1"/>
    <x v="0"/>
    <s v="Raw Milk"/>
    <x v="1"/>
    <s v="Tomme au Poivre"/>
    <x v="1"/>
    <s v="Qubec"/>
  </r>
  <r>
    <n v="2036"/>
    <s v="QC"/>
    <x v="8"/>
    <x v="0"/>
    <n v="43"/>
    <s v=""/>
    <s v=""/>
    <x v="0"/>
    <x v="1"/>
    <x v="0"/>
    <s v="Raw Milk"/>
    <x v="4"/>
    <s v="Vlimeux (Le)"/>
    <x v="1"/>
    <s v="Qubec"/>
  </r>
  <r>
    <n v="2037"/>
    <s v="QC"/>
    <x v="8"/>
    <x v="1"/>
    <n v="50"/>
    <s v=""/>
    <s v=""/>
    <x v="0"/>
    <x v="3"/>
    <x v="2"/>
    <s v="Pasteurized"/>
    <x v="3"/>
    <s v="Bûchette de Chèvre (La)"/>
    <x v="0"/>
    <s v="Qubec"/>
  </r>
  <r>
    <n v="2038"/>
    <s v="QC"/>
    <x v="8"/>
    <x v="1"/>
    <n v="39"/>
    <s v=""/>
    <s v=""/>
    <x v="0"/>
    <x v="1"/>
    <x v="2"/>
    <s v="Pasteurized"/>
    <x v="3"/>
    <s v="Cheddar Chèvre (Le)"/>
    <x v="1"/>
    <s v="Qubec"/>
  </r>
  <r>
    <n v="2039"/>
    <s v="QC"/>
    <x v="8"/>
    <x v="1"/>
    <n v="55"/>
    <s v=""/>
    <s v=""/>
    <x v="0"/>
    <x v="3"/>
    <x v="2"/>
    <s v="Pasteurized"/>
    <x v="3"/>
    <s v="Chèvrai (Le)"/>
    <x v="0"/>
    <s v="Qubec"/>
  </r>
  <r>
    <n v="2040"/>
    <s v="QC"/>
    <x v="8"/>
    <x v="1"/>
    <n v="60"/>
    <s v="Availble in roasted red peppers or cranberry and porto"/>
    <s v=""/>
    <x v="0"/>
    <x v="3"/>
    <x v="2"/>
    <s v="Pasteurized"/>
    <x v="1"/>
    <s v="Élite (L')"/>
    <x v="0"/>
    <s v="Qubec"/>
  </r>
  <r>
    <n v="2041"/>
    <s v="QC"/>
    <x v="8"/>
    <x v="1"/>
    <n v="52"/>
    <s v="Salty flavour"/>
    <s v=""/>
    <x v="0"/>
    <x v="4"/>
    <x v="2"/>
    <s v="Pasteurized"/>
    <x v="3"/>
    <s v="Féta de Chèvre (Le)"/>
    <x v="0"/>
    <s v="Qubec"/>
  </r>
  <r>
    <n v="2042"/>
    <s v="QC"/>
    <x v="8"/>
    <x v="1"/>
    <n v="42"/>
    <s v=""/>
    <s v=""/>
    <x v="0"/>
    <x v="1"/>
    <x v="2"/>
    <s v="Pasteurized"/>
    <x v="3"/>
    <s v="Mozzarella Chèvre (Le)"/>
    <x v="0"/>
    <s v="Qubec"/>
  </r>
  <r>
    <n v="2043"/>
    <s v="QC"/>
    <x v="8"/>
    <x v="1"/>
    <n v="40"/>
    <s v=""/>
    <s v=""/>
    <x v="0"/>
    <x v="0"/>
    <x v="0"/>
    <s v="Raw Milk"/>
    <x v="0"/>
    <s v="Allegretto (Le)"/>
    <x v="0"/>
    <s v="Qubec"/>
  </r>
  <r>
    <n v="2044"/>
    <s v="QC"/>
    <x v="8"/>
    <x v="1"/>
    <n v="50"/>
    <s v=""/>
    <s v=""/>
    <x v="0"/>
    <x v="4"/>
    <x v="2"/>
    <s v="Pasteurized"/>
    <x v="0"/>
    <s v="Fumambule (Le)"/>
    <x v="0"/>
    <s v="Qubec"/>
  </r>
  <r>
    <n v="2045"/>
    <s v="QC"/>
    <x v="8"/>
    <x v="1"/>
    <n v="50"/>
    <s v=""/>
    <s v=""/>
    <x v="0"/>
    <x v="4"/>
    <x v="7"/>
    <s v="Pasteurized"/>
    <x v="1"/>
    <s v="Grand Manitou (Le)"/>
    <x v="0"/>
    <s v="Qubec"/>
  </r>
  <r>
    <n v="2046"/>
    <s v="QC"/>
    <x v="8"/>
    <x v="2"/>
    <n v="40"/>
    <s v=""/>
    <s v=""/>
    <x v="0"/>
    <x v="6"/>
    <x v="2"/>
    <s v=""/>
    <x v="1"/>
    <s v="Boucané (Le)"/>
    <x v="0"/>
    <s v="Qubec"/>
  </r>
  <r>
    <n v="2049"/>
    <s v="QC"/>
    <x v="8"/>
    <x v="2"/>
    <n v="41"/>
    <s v=""/>
    <s v=""/>
    <x v="0"/>
    <x v="6"/>
    <x v="2"/>
    <s v=""/>
    <x v="1"/>
    <s v="Tomme du Draveur (La)"/>
    <x v="0"/>
    <s v="Qubec"/>
  </r>
  <r>
    <n v="2053"/>
    <s v="QC"/>
    <x v="8"/>
    <x v="2"/>
    <n v="55"/>
    <s v=""/>
    <s v=""/>
    <x v="0"/>
    <x v="3"/>
    <x v="1"/>
    <s v="Raw Milk"/>
    <x v="2"/>
    <s v="Gaulois de Portneuf (Le)"/>
    <x v="0"/>
    <s v="Qubec"/>
  </r>
  <r>
    <n v="2054"/>
    <s v="QC"/>
    <x v="8"/>
    <x v="2"/>
    <n v="42"/>
    <s v=""/>
    <s v=""/>
    <x v="0"/>
    <x v="0"/>
    <x v="0"/>
    <s v="Pasteurized"/>
    <x v="1"/>
    <s v="Manchebello"/>
    <x v="1"/>
    <s v="Qubec"/>
  </r>
  <r>
    <n v="2055"/>
    <s v="QC"/>
    <x v="8"/>
    <x v="2"/>
    <n v="45"/>
    <s v=""/>
    <s v=""/>
    <x v="0"/>
    <x v="2"/>
    <x v="1"/>
    <s v="Pasteurized"/>
    <x v="1"/>
    <s v="Rébellion 1837"/>
    <x v="1"/>
    <s v="Qubec"/>
  </r>
  <r>
    <n v="2056"/>
    <s v="QC"/>
    <x v="8"/>
    <x v="2"/>
    <n v="42"/>
    <s v=""/>
    <s v="Cheese curds"/>
    <x v="0"/>
    <x v="3"/>
    <x v="1"/>
    <s v="Pasteurized"/>
    <x v="3"/>
    <s v="Fromage (Montebello)"/>
    <x v="1"/>
    <s v="Qubec"/>
  </r>
  <r>
    <n v="2057"/>
    <s v="QC"/>
    <x v="8"/>
    <x v="2"/>
    <n v="48"/>
    <s v=""/>
    <s v=""/>
    <x v="0"/>
    <x v="1"/>
    <x v="1"/>
    <s v="Pasteurized"/>
    <x v="1"/>
    <s v="Tête à Papineau"/>
    <x v="0"/>
    <s v="Qubec"/>
  </r>
  <r>
    <n v="2058"/>
    <s v="QC"/>
    <x v="8"/>
    <x v="2"/>
    <n v="45"/>
    <s v=""/>
    <s v=""/>
    <x v="0"/>
    <x v="1"/>
    <x v="1"/>
    <s v="Pasteurized"/>
    <x v="0"/>
    <s v="20 Vaches (Le)"/>
    <x v="1"/>
    <s v="Qubec"/>
  </r>
  <r>
    <n v="2059"/>
    <s v="QC"/>
    <x v="8"/>
    <x v="2"/>
    <n v="50"/>
    <s v=""/>
    <s v=""/>
    <x v="0"/>
    <x v="6"/>
    <x v="2"/>
    <s v="Pasteurized"/>
    <x v="2"/>
    <s v="Ma Manière (Le)"/>
    <x v="0"/>
    <s v="Qubec"/>
  </r>
  <r>
    <n v="2060"/>
    <s v="ON"/>
    <x v="1"/>
    <x v="2"/>
    <n v="42.6"/>
    <s v="Available in Cumin and jalapino spices"/>
    <s v=""/>
    <x v="0"/>
    <x v="5"/>
    <x v="2"/>
    <s v=""/>
    <x v="1"/>
    <s v="Farm Cheese"/>
    <x v="0"/>
    <s v="Ontario"/>
  </r>
  <r>
    <n v="2070"/>
    <s v="ON"/>
    <x v="1"/>
    <x v="2"/>
    <n v="47.06"/>
    <s v=""/>
    <s v=""/>
    <x v="0"/>
    <x v="4"/>
    <x v="0"/>
    <s v="Pasteurized"/>
    <x v="2"/>
    <s v="Sheep In The Meadow (Best Baa Dairy)"/>
    <x v="0"/>
    <s v="Ontario"/>
  </r>
  <r>
    <n v="2071"/>
    <s v="ON"/>
    <x v="1"/>
    <x v="2"/>
    <n v="75"/>
    <s v=""/>
    <s v=""/>
    <x v="0"/>
    <x v="3"/>
    <x v="0"/>
    <s v="Pasteurized"/>
    <x v="3"/>
    <s v="Quark (Best Baa Dairy)"/>
    <x v="0"/>
    <s v="Ontario"/>
  </r>
  <r>
    <n v="2076"/>
    <s v="AB"/>
    <x v="3"/>
    <x v="1"/>
    <n v="52"/>
    <s v=""/>
    <s v=""/>
    <x v="0"/>
    <x v="6"/>
    <x v="1"/>
    <s v=""/>
    <x v="3"/>
    <s v="Mozarella (Franco's Brand)"/>
    <x v="0"/>
    <s v="Alberta"/>
  </r>
  <r>
    <n v="2077"/>
    <s v="AB"/>
    <x v="3"/>
    <x v="1"/>
    <n v="45"/>
    <s v=""/>
    <s v=""/>
    <x v="0"/>
    <x v="6"/>
    <x v="1"/>
    <s v=""/>
    <x v="1"/>
    <s v="Provoletta (Franco's Brand)"/>
    <x v="0"/>
    <s v="Alberta"/>
  </r>
  <r>
    <n v="2086"/>
    <s v="MB"/>
    <x v="5"/>
    <x v="0"/>
    <n v="42"/>
    <s v=""/>
    <s v=""/>
    <x v="0"/>
    <x v="6"/>
    <x v="1"/>
    <s v=""/>
    <x v="1"/>
    <s v="Muenster (Bothwell)"/>
    <x v="0"/>
    <s v="Manitobia"/>
  </r>
  <r>
    <n v="2088"/>
    <s v="BC"/>
    <x v="2"/>
    <x v="2"/>
    <n v="43"/>
    <s v="Available smoked"/>
    <s v=""/>
    <x v="0"/>
    <x v="0"/>
    <x v="1"/>
    <s v=""/>
    <x v="1"/>
    <s v="Boerenkaas"/>
    <x v="1"/>
    <s v="British Columbia"/>
  </r>
  <r>
    <n v="2089"/>
    <s v="BC"/>
    <x v="2"/>
    <x v="2"/>
    <n v="39"/>
    <s v=""/>
    <s v=""/>
    <x v="0"/>
    <x v="0"/>
    <x v="1"/>
    <s v=""/>
    <x v="3"/>
    <s v="Courtenay Cheddar"/>
    <x v="1"/>
    <s v="British Columbia"/>
  </r>
  <r>
    <n v="2090"/>
    <s v="BC"/>
    <x v="2"/>
    <x v="2"/>
    <n v="60"/>
    <s v=""/>
    <s v=""/>
    <x v="0"/>
    <x v="3"/>
    <x v="1"/>
    <s v=""/>
    <x v="3"/>
    <s v="Fior di Latte (Natural Pastures Cheese Company)"/>
    <x v="0"/>
    <s v="British Columbia"/>
  </r>
  <r>
    <n v="2094"/>
    <s v="NL"/>
    <x v="6"/>
    <x v="1"/>
    <n v="40"/>
    <s v=""/>
    <s v=""/>
    <x v="0"/>
    <x v="6"/>
    <x v="1"/>
    <s v=""/>
    <x v="3"/>
    <s v="Swiss (Central Dairies)"/>
    <x v="0"/>
    <s v="Newfoundland and Labrador"/>
  </r>
  <r>
    <n v="2101"/>
    <s v="ON"/>
    <x v="1"/>
    <x v="1"/>
    <n v="37"/>
    <s v=""/>
    <s v=""/>
    <x v="0"/>
    <x v="6"/>
    <x v="1"/>
    <s v=""/>
    <x v="3"/>
    <s v="Cheddar (Tres Stelle)"/>
    <x v="1"/>
    <s v="Ontario"/>
  </r>
  <r>
    <n v="2103"/>
    <s v="ON"/>
    <x v="1"/>
    <x v="1"/>
    <n v="46"/>
    <s v=""/>
    <s v=""/>
    <x v="0"/>
    <x v="6"/>
    <x v="1"/>
    <s v=""/>
    <x v="1"/>
    <s v="Edam (Tres Stelle)"/>
    <x v="0"/>
    <s v="Ontario"/>
  </r>
  <r>
    <n v="2104"/>
    <s v="ON"/>
    <x v="1"/>
    <x v="1"/>
    <n v="42"/>
    <s v=""/>
    <s v=""/>
    <x v="0"/>
    <x v="6"/>
    <x v="1"/>
    <s v=""/>
    <x v="1"/>
    <s v="Fruilano (Tres Stelle)"/>
    <x v="0"/>
    <s v="Ontario"/>
  </r>
  <r>
    <n v="2105"/>
    <s v="ON"/>
    <x v="1"/>
    <x v="1"/>
    <n v="60"/>
    <s v=""/>
    <s v=""/>
    <x v="0"/>
    <x v="3"/>
    <x v="2"/>
    <s v=""/>
    <x v="1"/>
    <s v="Goat Cheese (Tres Stelle)"/>
    <x v="0"/>
    <s v="Ontario"/>
  </r>
  <r>
    <n v="2106"/>
    <s v="ON"/>
    <x v="1"/>
    <x v="1"/>
    <n v="37"/>
    <s v=""/>
    <s v=""/>
    <x v="0"/>
    <x v="0"/>
    <x v="1"/>
    <s v=""/>
    <x v="1"/>
    <s v="Montasio (Tres Stelle)"/>
    <x v="1"/>
    <s v="Ontario"/>
  </r>
  <r>
    <n v="2108"/>
    <s v="ON"/>
    <x v="1"/>
    <x v="1"/>
    <n v="21"/>
    <s v=""/>
    <s v=""/>
    <x v="0"/>
    <x v="5"/>
    <x v="0"/>
    <s v=""/>
    <x v="1"/>
    <s v="Romano (Tres Stelle)"/>
    <x v="1"/>
    <s v="Ontario"/>
  </r>
  <r>
    <n v="2109"/>
    <s v="QC"/>
    <x v="8"/>
    <x v="1"/>
    <n v="46"/>
    <s v=""/>
    <s v=""/>
    <x v="0"/>
    <x v="0"/>
    <x v="1"/>
    <s v=""/>
    <x v="1"/>
    <s v="Rivière Rouge d'Oka"/>
    <x v="0"/>
    <s v="Qubec"/>
  </r>
  <r>
    <n v="2110"/>
    <s v="QC"/>
    <x v="8"/>
    <x v="1"/>
    <n v="38"/>
    <s v=""/>
    <s v=""/>
    <x v="0"/>
    <x v="0"/>
    <x v="1"/>
    <s v=""/>
    <x v="0"/>
    <s v="Seigneurie du Lac-des-Deux-Montagnes (La) d'Oka"/>
    <x v="0"/>
    <s v="Qubec"/>
  </r>
  <r>
    <n v="2111"/>
    <s v="QC"/>
    <x v="8"/>
    <x v="1"/>
    <n v="39"/>
    <s v=""/>
    <s v=""/>
    <x v="0"/>
    <x v="0"/>
    <x v="1"/>
    <s v=""/>
    <x v="1"/>
    <s v="Tomme des Cantons (Fromagerie 1860 Du Village) Saputo"/>
    <x v="1"/>
    <s v="Qubec"/>
  </r>
  <r>
    <n v="2112"/>
    <s v="QC"/>
    <x v="8"/>
    <x v="1"/>
    <n v="50"/>
    <s v=""/>
    <s v=""/>
    <x v="0"/>
    <x v="4"/>
    <x v="1"/>
    <s v=""/>
    <x v="2"/>
    <s v="Trappeur (Le) Camembert Double crème"/>
    <x v="1"/>
    <s v="Qubec"/>
  </r>
  <r>
    <n v="2113"/>
    <s v="QC"/>
    <x v="8"/>
    <x v="1"/>
    <n v="50"/>
    <s v=""/>
    <s v=""/>
    <x v="0"/>
    <x v="4"/>
    <x v="1"/>
    <s v=""/>
    <x v="2"/>
    <s v="Trappeur (Le) Brie Double crème"/>
    <x v="1"/>
    <s v="Qubec"/>
  </r>
  <r>
    <n v="2114"/>
    <s v="QC"/>
    <x v="8"/>
    <x v="1"/>
    <n v="86"/>
    <s v=""/>
    <s v=""/>
    <x v="0"/>
    <x v="3"/>
    <x v="1"/>
    <s v=""/>
    <x v="3"/>
    <s v="Quark cheese (Damafro)"/>
    <x v="0"/>
    <s v="Qubec"/>
  </r>
  <r>
    <n v="2115"/>
    <s v="QC"/>
    <x v="8"/>
    <x v="1"/>
    <n v="50"/>
    <s v=""/>
    <s v=""/>
    <x v="0"/>
    <x v="4"/>
    <x v="1"/>
    <s v=""/>
    <x v="1"/>
    <s v="Manoir (Le) Brie Double crème"/>
    <x v="1"/>
    <s v="Qubec"/>
  </r>
  <r>
    <n v="2116"/>
    <s v="QC"/>
    <x v="8"/>
    <x v="1"/>
    <n v="38"/>
    <s v=""/>
    <s v=""/>
    <x v="0"/>
    <x v="3"/>
    <x v="1"/>
    <s v=""/>
    <x v="1"/>
    <s v="Crémeux (Le)"/>
    <x v="1"/>
    <s v="Qubec"/>
  </r>
  <r>
    <n v="2117"/>
    <s v="QC"/>
    <x v="8"/>
    <x v="1"/>
    <n v="26"/>
    <s v=""/>
    <s v=""/>
    <x v="0"/>
    <x v="6"/>
    <x v="1"/>
    <s v=""/>
    <x v="1"/>
    <s v="Fruitier de Montérégie"/>
    <x v="1"/>
    <s v="Qubec"/>
  </r>
  <r>
    <n v="2118"/>
    <s v="QC"/>
    <x v="8"/>
    <x v="1"/>
    <n v="25"/>
    <s v=""/>
    <s v=""/>
    <x v="0"/>
    <x v="4"/>
    <x v="1"/>
    <s v=""/>
    <x v="3"/>
    <s v="Coeur de Brie"/>
    <x v="1"/>
    <s v="Qubec"/>
  </r>
  <r>
    <n v="2128"/>
    <s v="NS"/>
    <x v="4"/>
    <x v="1"/>
    <n v="40"/>
    <s v=""/>
    <s v=""/>
    <x v="0"/>
    <x v="6"/>
    <x v="1"/>
    <s v=""/>
    <x v="3"/>
    <s v="Swiss (Farmers Cooperative Dairy)"/>
    <x v="0"/>
    <s v="Nova Scotia"/>
  </r>
  <r>
    <n v="2137"/>
    <s v="QC"/>
    <x v="8"/>
    <x v="0"/>
    <n v="36"/>
    <s v=""/>
    <s v=""/>
    <x v="0"/>
    <x v="0"/>
    <x v="1"/>
    <s v="Pasteurized"/>
    <x v="3"/>
    <s v="Ménestrel (Le)"/>
    <x v="1"/>
    <s v="Qubec"/>
  </r>
  <r>
    <n v="2141"/>
    <s v="BC"/>
    <x v="2"/>
    <x v="2"/>
    <n v="40"/>
    <s v=""/>
    <s v=""/>
    <x v="0"/>
    <x v="1"/>
    <x v="1"/>
    <s v="Pasteurized"/>
    <x v="3"/>
    <s v="Aged Farmhouse"/>
    <x v="1"/>
    <s v="British Columbia"/>
  </r>
  <r>
    <n v="2144"/>
    <s v="QC"/>
    <x v="8"/>
    <x v="2"/>
    <n v="54"/>
    <s v=""/>
    <s v=""/>
    <x v="0"/>
    <x v="4"/>
    <x v="1"/>
    <s v="Pasteurized"/>
    <x v="2"/>
    <s v="Brie Marie-Charlotte"/>
    <x v="0"/>
    <s v="Qubec"/>
  </r>
  <r>
    <n v="2146"/>
    <s v="QC"/>
    <x v="8"/>
    <x v="1"/>
    <n v="42"/>
    <s v=""/>
    <s v="Grilling cheese"/>
    <x v="0"/>
    <x v="0"/>
    <x v="1"/>
    <s v="Pasteurized"/>
    <x v="1"/>
    <s v="Démon (Le)"/>
    <x v="0"/>
    <s v="Qubec"/>
  </r>
  <r>
    <n v="2152"/>
    <s v="QC"/>
    <x v="8"/>
    <x v="2"/>
    <n v="72"/>
    <s v=""/>
    <s v=""/>
    <x v="0"/>
    <x v="3"/>
    <x v="2"/>
    <s v=""/>
    <x v="1"/>
    <s v="Paysanne (La)"/>
    <x v="0"/>
    <s v="Qubec"/>
  </r>
  <r>
    <n v="2158"/>
    <s v="QC"/>
    <x v="8"/>
    <x v="2"/>
    <n v="42"/>
    <s v="Nutty flavour"/>
    <s v=""/>
    <x v="0"/>
    <x v="1"/>
    <x v="2"/>
    <s v="Pasteurized"/>
    <x v="1"/>
    <s v="Du Charme"/>
    <x v="0"/>
    <s v="Qubec"/>
  </r>
  <r>
    <n v="2160"/>
    <s v="QC"/>
    <x v="8"/>
    <x v="0"/>
    <n v="47"/>
    <s v="Fresh butter and almond"/>
    <s v=""/>
    <x v="0"/>
    <x v="4"/>
    <x v="1"/>
    <s v="Raw Milk"/>
    <x v="1"/>
    <s v="Tremblay (Le)"/>
    <x v="1"/>
    <s v="Qubec"/>
  </r>
  <r>
    <n v="2217"/>
    <s v="QC"/>
    <x v="8"/>
    <x v="1"/>
    <n v="32"/>
    <s v="Fruity sharp taste"/>
    <s v=""/>
    <x v="0"/>
    <x v="5"/>
    <x v="1"/>
    <s v=""/>
    <x v="3"/>
    <s v="Parmesan Rivièra"/>
    <x v="0"/>
    <s v="Qubec"/>
  </r>
  <r>
    <n v="2218"/>
    <s v="QC"/>
    <x v="8"/>
    <x v="1"/>
    <n v="54"/>
    <s v=""/>
    <s v=""/>
    <x v="0"/>
    <x v="6"/>
    <x v="1"/>
    <s v=""/>
    <x v="1"/>
    <s v="Origine de Charevoix (L')"/>
    <x v="0"/>
    <s v="Qubec"/>
  </r>
  <r>
    <n v="2224"/>
    <s v="QC"/>
    <x v="8"/>
    <x v="2"/>
    <n v="33"/>
    <s v=""/>
    <s v=""/>
    <x v="0"/>
    <x v="0"/>
    <x v="0"/>
    <s v=""/>
    <x v="0"/>
    <s v="Tomme de Brebis de Charlevoix"/>
    <x v="1"/>
    <s v="Qubec"/>
  </r>
  <r>
    <n v="2225"/>
    <s v="QC"/>
    <x v="8"/>
    <x v="2"/>
    <n v="41"/>
    <s v=""/>
    <s v=""/>
    <x v="0"/>
    <x v="2"/>
    <x v="0"/>
    <s v=""/>
    <x v="1"/>
    <s v="Bleu de Brebis de Charlevoix (Le)"/>
    <x v="0"/>
    <s v="Qubec"/>
  </r>
  <r>
    <n v="2228"/>
    <s v="BC"/>
    <x v="2"/>
    <x v="2"/>
    <n v="30"/>
    <s v="Saveur de noisette"/>
    <s v=""/>
    <x v="0"/>
    <x v="0"/>
    <x v="1"/>
    <s v="Pasteurized"/>
    <x v="3"/>
    <s v="Parmadammer"/>
    <x v="1"/>
    <s v="British Columbia"/>
  </r>
  <r>
    <n v="2266"/>
    <s v="ON"/>
    <x v="1"/>
    <x v="2"/>
    <n v="42"/>
    <s v="Light taste, a caramel like flavor, with a mild saltiness"/>
    <s v="Cream colored body with a smooth, firm texture"/>
    <x v="0"/>
    <x v="5"/>
    <x v="2"/>
    <s v="Pasteurized"/>
    <x v="3"/>
    <s v="Golden Blyth"/>
    <x v="0"/>
    <s v="Ontario"/>
  </r>
  <r>
    <n v="2267"/>
    <s v="NB"/>
    <x v="0"/>
    <x v="0"/>
    <n v="50"/>
    <s v="It has a light fruity flavor which becomes more pronounced with time.  It is also available in cumin, pepper and mustard flavor."/>
    <s v="It is a semi-soft cheese with a brushed natural rind."/>
    <x v="1"/>
    <x v="1"/>
    <x v="2"/>
    <s v="Pasteurized"/>
    <x v="4"/>
    <s v="Tomme Blanche"/>
    <x v="0"/>
    <s v="New Brunswick"/>
  </r>
  <r>
    <n v="2268"/>
    <s v="NB"/>
    <x v="0"/>
    <x v="0"/>
    <n v="50"/>
    <s v="Mild, light and delicate taste of mushrooms and nuts."/>
    <s v=""/>
    <x v="0"/>
    <x v="4"/>
    <x v="2"/>
    <s v="Pasteurized"/>
    <x v="1"/>
    <s v="Tintamarre (Le)"/>
    <x v="0"/>
    <s v="New Brunswick"/>
  </r>
  <r>
    <n v="2269"/>
    <s v="NB"/>
    <x v="0"/>
    <x v="0"/>
    <n v="50"/>
    <s v="Light nutty flavor becoming drier and sharper with age"/>
    <s v="It's bloomy ivory rind can become spekled with blue when aging."/>
    <x v="1"/>
    <x v="4"/>
    <x v="2"/>
    <s v="Pasteurized"/>
    <x v="2"/>
    <s v="Petit Bayou (Le)"/>
    <x v="0"/>
    <s v="New Brunswick"/>
  </r>
  <r>
    <n v="2270"/>
    <s v="NB"/>
    <x v="0"/>
    <x v="0"/>
    <n v="50"/>
    <s v="Light fruity taste becoming more pronounced with age."/>
    <s v=""/>
    <x v="0"/>
    <x v="4"/>
    <x v="2"/>
    <s v="Pasteurized"/>
    <x v="3"/>
    <s v="Choupet's (Le)"/>
    <x v="0"/>
    <s v="New Brunswick"/>
  </r>
  <r>
    <n v="2271"/>
    <s v="NB"/>
    <x v="0"/>
    <x v="0"/>
    <n v="50"/>
    <s v="Light and fruity flavor."/>
    <s v="Ash rind."/>
    <x v="0"/>
    <x v="4"/>
    <x v="2"/>
    <s v="Pasteurized"/>
    <x v="2"/>
    <s v="Saint Manu (Le)"/>
    <x v="0"/>
    <s v="New Brunswick"/>
  </r>
  <r>
    <n v="2272"/>
    <s v="NB"/>
    <x v="0"/>
    <x v="0"/>
    <n v="50"/>
    <s v="It is lightly salted and comes in plain or garlic and chives."/>
    <s v="It is creamy and spreadable."/>
    <x v="0"/>
    <x v="3"/>
    <x v="2"/>
    <s v="Pasteurized"/>
    <x v="3"/>
    <s v="Faisselles (Les)"/>
    <x v="0"/>
    <s v="New Brunswick"/>
  </r>
  <r>
    <n v="2273"/>
    <s v="NB"/>
    <x v="0"/>
    <x v="0"/>
    <n v="50"/>
    <s v="Mild taste becoming stronger with age."/>
    <s v=""/>
    <x v="0"/>
    <x v="0"/>
    <x v="2"/>
    <s v="Pasteurized"/>
    <x v="3"/>
    <s v="Cheddar"/>
    <x v="0"/>
    <s v="New Brunswick"/>
  </r>
  <r>
    <n v="2274"/>
    <s v="NB"/>
    <x v="0"/>
    <x v="0"/>
    <n v="50"/>
    <s v="Light and salty."/>
    <s v=""/>
    <x v="0"/>
    <x v="3"/>
    <x v="2"/>
    <s v="Pasteurized"/>
    <x v="3"/>
    <s v="Fromage en grain"/>
    <x v="0"/>
    <s v="New Brunswick"/>
  </r>
  <r>
    <n v="2275"/>
    <s v="NB"/>
    <x v="0"/>
    <x v="0"/>
    <n v="50"/>
    <s v="Mild flavor."/>
    <s v="Lactic goat cheese."/>
    <x v="0"/>
    <x v="4"/>
    <x v="2"/>
    <s v="Pasteurized"/>
    <x v="3"/>
    <s v="Barbizon (Le)"/>
    <x v="0"/>
    <s v="New Brunswick"/>
  </r>
  <r>
    <n v="2276"/>
    <s v="NB"/>
    <x v="0"/>
    <x v="0"/>
    <n v="50"/>
    <s v="Mild mushroom and nut flavour."/>
    <s v="Bloomy white rind."/>
    <x v="0"/>
    <x v="4"/>
    <x v="2"/>
    <s v="Pasteurized"/>
    <x v="2"/>
    <s v="Cabriolet (Le)"/>
    <x v="0"/>
    <s v="New Brunswick"/>
  </r>
  <r>
    <n v="2277"/>
    <s v="NB"/>
    <x v="0"/>
    <x v="0"/>
    <n v="50"/>
    <s v="Young it has a light nutty flavor becoming more pungent with age."/>
    <s v=""/>
    <x v="0"/>
    <x v="4"/>
    <x v="2"/>
    <s v="Pasteurized"/>
    <x v="2"/>
    <s v="Acadiac (L')"/>
    <x v="0"/>
    <s v="New Brunswick"/>
  </r>
  <r>
    <n v="2278"/>
    <s v="NB"/>
    <x v="0"/>
    <x v="0"/>
    <n v="50"/>
    <s v="Fresh milk flavor, available in the following versions: Paprika and fines herbs"/>
    <s v="Fresh goat ladle-molded."/>
    <x v="0"/>
    <x v="3"/>
    <x v="2"/>
    <s v="Pasteurized"/>
    <x v="3"/>
    <s v="Petit Frais (Le)"/>
    <x v="0"/>
    <s v="New Brunswick"/>
  </r>
  <r>
    <n v="2279"/>
    <s v="NB"/>
    <x v="0"/>
    <x v="0"/>
    <n v="50"/>
    <s v="Garlic and pepper flavor."/>
    <s v=""/>
    <x v="0"/>
    <x v="1"/>
    <x v="2"/>
    <s v="Pasteurized"/>
    <x v="2"/>
    <s v="Forban (Le)"/>
    <x v="0"/>
    <s v="New Brunswick"/>
  </r>
  <r>
    <n v="2280"/>
    <s v="NB"/>
    <x v="0"/>
    <x v="0"/>
    <n v="50"/>
    <s v=""/>
    <s v="It has a firm and chalky texture."/>
    <x v="0"/>
    <x v="0"/>
    <x v="2"/>
    <s v="Pasteurized"/>
    <x v="3"/>
    <s v="Feta"/>
    <x v="0"/>
    <s v="New Brunswick"/>
  </r>
  <r>
    <n v="2281"/>
    <s v="QC"/>
    <x v="8"/>
    <x v="2"/>
    <n v="33"/>
    <s v="Candied fruit flavor with hints of caramel."/>
    <s v=""/>
    <x v="1"/>
    <x v="0"/>
    <x v="1"/>
    <s v="Raw Milk"/>
    <x v="1"/>
    <s v="Frère Chasseur (Le)"/>
    <x v="1"/>
    <s v="Qubec"/>
  </r>
  <r>
    <n v="2282"/>
    <s v="QC"/>
    <x v="8"/>
    <x v="2"/>
    <n v="42"/>
    <s v=""/>
    <s v=""/>
    <x v="0"/>
    <x v="0"/>
    <x v="1"/>
    <s v="Pasteurized"/>
    <x v="1"/>
    <s v="Benedictus (Le)"/>
    <x v="1"/>
    <s v="Qubec"/>
  </r>
  <r>
    <n v="2283"/>
    <s v="ON"/>
    <x v="1"/>
    <x v="0"/>
    <n v="50"/>
    <s v="Buttery taste"/>
    <s v="Creamy and smoothe"/>
    <x v="0"/>
    <x v="3"/>
    <x v="0"/>
    <s v="Pasteurized"/>
    <x v="1"/>
    <s v="Sheep Feta"/>
    <x v="0"/>
    <s v="Ontario"/>
  </r>
  <r>
    <n v="2284"/>
    <s v="ON"/>
    <x v="1"/>
    <x v="0"/>
    <n v="35"/>
    <s v="A hint of natural sweetness"/>
    <s v="Smoothe and creamy"/>
    <x v="0"/>
    <x v="3"/>
    <x v="2"/>
    <s v="Pasteurized"/>
    <x v="1"/>
    <s v="Chèvre"/>
    <x v="0"/>
    <s v="Ontario"/>
  </r>
  <r>
    <n v="2285"/>
    <s v="QC"/>
    <x v="8"/>
    <x v="0"/>
    <n v="44"/>
    <s v=""/>
    <s v=""/>
    <x v="0"/>
    <x v="0"/>
    <x v="1"/>
    <s v=""/>
    <x v="3"/>
    <s v="Fou Raide (Le)"/>
    <x v="0"/>
    <s v="Qubec"/>
  </r>
  <r>
    <n v="2286"/>
    <s v="QC"/>
    <x v="8"/>
    <x v="0"/>
    <n v="42"/>
    <s v="Subtle buttery flavor."/>
    <s v=""/>
    <x v="0"/>
    <x v="6"/>
    <x v="1"/>
    <s v=""/>
    <x v="3"/>
    <s v="Ayoye!"/>
    <x v="0"/>
    <s v="Qubec"/>
  </r>
  <r>
    <n v="2287"/>
    <s v="QC"/>
    <x v="8"/>
    <x v="0"/>
    <n v="39"/>
    <s v="Available in mild, medium, old and extra old"/>
    <s v=""/>
    <x v="0"/>
    <x v="0"/>
    <x v="1"/>
    <s v=""/>
    <x v="3"/>
    <s v="Tiguidou"/>
    <x v="1"/>
    <s v="Qubec"/>
  </r>
  <r>
    <n v="2288"/>
    <s v="QC"/>
    <x v="8"/>
    <x v="0"/>
    <n v="44"/>
    <s v=""/>
    <s v=""/>
    <x v="0"/>
    <x v="0"/>
    <x v="1"/>
    <s v=""/>
    <x v="3"/>
    <s v="Skouik!"/>
    <x v="0"/>
    <s v="Qubec"/>
  </r>
  <r>
    <n v="2289"/>
    <s v="QC"/>
    <x v="8"/>
    <x v="0"/>
    <n v="43"/>
    <s v="Light almond and cream flavor"/>
    <s v=""/>
    <x v="0"/>
    <x v="6"/>
    <x v="1"/>
    <s v=""/>
    <x v="0"/>
    <s v="Menoum!"/>
    <x v="0"/>
    <s v="Qubec"/>
  </r>
  <r>
    <n v="2290"/>
    <s v="QC"/>
    <x v="8"/>
    <x v="0"/>
    <n v="55"/>
    <s v=""/>
    <s v=""/>
    <x v="0"/>
    <x v="0"/>
    <x v="1"/>
    <s v=""/>
    <x v="3"/>
    <s v="Ben d'Adon!"/>
    <x v="0"/>
    <s v="Qubec"/>
  </r>
  <r>
    <n v="2291"/>
    <s v="QC"/>
    <x v="8"/>
    <x v="0"/>
    <n v="52"/>
    <s v=""/>
    <s v=""/>
    <x v="0"/>
    <x v="0"/>
    <x v="1"/>
    <s v=""/>
    <x v="3"/>
    <s v="Mamamia!"/>
    <x v="0"/>
    <s v="Qubec"/>
  </r>
  <r>
    <n v="2292"/>
    <s v="QC"/>
    <x v="8"/>
    <x v="0"/>
    <n v="40"/>
    <s v=""/>
    <s v=""/>
    <x v="0"/>
    <x v="5"/>
    <x v="1"/>
    <s v=""/>
    <x v="3"/>
    <s v="Rightrou!"/>
    <x v="0"/>
    <s v="Qubec"/>
  </r>
  <r>
    <n v="2293"/>
    <s v="QC"/>
    <x v="8"/>
    <x v="0"/>
    <n v="39"/>
    <s v=""/>
    <s v=""/>
    <x v="1"/>
    <x v="5"/>
    <x v="1"/>
    <s v=""/>
    <x v="3"/>
    <s v="Cheddar"/>
    <x v="1"/>
    <s v="Qubec"/>
  </r>
  <r>
    <n v="2294"/>
    <s v="QC"/>
    <x v="8"/>
    <x v="0"/>
    <n v="40"/>
    <s v=""/>
    <s v=""/>
    <x v="1"/>
    <x v="5"/>
    <x v="1"/>
    <s v=""/>
    <x v="3"/>
    <s v="Swiss"/>
    <x v="0"/>
    <s v="Qubec"/>
  </r>
  <r>
    <n v="2295"/>
    <s v="QC"/>
    <x v="8"/>
    <x v="0"/>
    <n v="52"/>
    <s v=""/>
    <s v=""/>
    <x v="1"/>
    <x v="0"/>
    <x v="1"/>
    <s v=""/>
    <x v="1"/>
    <s v="Mozzarella"/>
    <x v="0"/>
    <s v="Qubec"/>
  </r>
  <r>
    <n v="2296"/>
    <s v="QC"/>
    <x v="8"/>
    <x v="0"/>
    <n v="55"/>
    <s v=""/>
    <s v=""/>
    <x v="1"/>
    <x v="0"/>
    <x v="1"/>
    <s v=""/>
    <x v="3"/>
    <s v="Judicieux (Le)"/>
    <x v="0"/>
    <s v="Qubec"/>
  </r>
  <r>
    <n v="2297"/>
    <s v="QC"/>
    <x v="8"/>
    <x v="0"/>
    <n v="43"/>
    <s v=""/>
    <s v=""/>
    <x v="1"/>
    <x v="5"/>
    <x v="1"/>
    <s v=""/>
    <x v="3"/>
    <s v="Gouda"/>
    <x v="0"/>
    <s v="Qubec"/>
  </r>
  <r>
    <n v="2298"/>
    <s v="QC"/>
    <x v="8"/>
    <x v="1"/>
    <n v="50"/>
    <s v="A distinctive touch of salt and spices"/>
    <s v=""/>
    <x v="0"/>
    <x v="0"/>
    <x v="1"/>
    <s v="Pasteurized"/>
    <x v="3"/>
    <s v="Baya"/>
    <x v="0"/>
    <s v="Qubec"/>
  </r>
  <r>
    <n v="2299"/>
    <s v="QC"/>
    <x v="8"/>
    <x v="1"/>
    <n v="35"/>
    <s v="It is pickled in brine, which gives it a special salty taste.  Also available in BBQ"/>
    <s v=""/>
    <x v="0"/>
    <x v="0"/>
    <x v="1"/>
    <s v="Pasteurized"/>
    <x v="3"/>
    <s v="Tortillon"/>
    <x v="1"/>
    <s v="Qubec"/>
  </r>
  <r>
    <n v="2300"/>
    <s v="QC"/>
    <x v="8"/>
    <x v="2"/>
    <n v="67"/>
    <s v="A light taste of garlic and herbs"/>
    <s v="It is a fresh spreadable cheese"/>
    <x v="0"/>
    <x v="3"/>
    <x v="1"/>
    <s v="Pasteurized"/>
    <x v="3"/>
    <s v="Fréchette"/>
    <x v="0"/>
    <s v="Qubec"/>
  </r>
  <r>
    <n v="2301"/>
    <s v="QC"/>
    <x v="8"/>
    <x v="2"/>
    <n v="35"/>
    <s v="Mild butter flavour"/>
    <s v=""/>
    <x v="0"/>
    <x v="0"/>
    <x v="0"/>
    <s v="Thermised"/>
    <x v="0"/>
    <s v="Zacharie Cloutier"/>
    <x v="1"/>
    <s v="Qubec"/>
  </r>
  <r>
    <n v="2302"/>
    <s v="QC"/>
    <x v="8"/>
    <x v="0"/>
    <n v="43"/>
    <s v="It has a fruity flavor"/>
    <s v=""/>
    <x v="0"/>
    <x v="1"/>
    <x v="0"/>
    <s v="Pasteurized"/>
    <x v="0"/>
    <s v="Douce Folie"/>
    <x v="0"/>
    <s v="Qubec"/>
  </r>
  <r>
    <n v="2303"/>
    <s v="QC"/>
    <x v="8"/>
    <x v="0"/>
    <n v="61"/>
    <s v=""/>
    <s v=""/>
    <x v="0"/>
    <x v="3"/>
    <x v="0"/>
    <s v="Pasteurized"/>
    <x v="3"/>
    <s v="Fetaccompli"/>
    <x v="0"/>
    <s v="Qubec"/>
  </r>
  <r>
    <n v="2304"/>
    <s v="QC"/>
    <x v="8"/>
    <x v="0"/>
    <n v="72"/>
    <s v="It is available in the following flavors: fine herbs, olives or sun dried tomatoes"/>
    <s v=""/>
    <x v="0"/>
    <x v="3"/>
    <x v="0"/>
    <s v="Pasteurized"/>
    <x v="3"/>
    <s v="Petit Péché (Le)"/>
    <x v="0"/>
    <s v="Qubec"/>
  </r>
  <r>
    <n v="2305"/>
    <s v="QC"/>
    <x v="8"/>
    <x v="0"/>
    <n v="47"/>
    <s v="Light nutty taste"/>
    <s v=""/>
    <x v="0"/>
    <x v="1"/>
    <x v="0"/>
    <s v="Pasteurized"/>
    <x v="2"/>
    <s v="Petitrond"/>
    <x v="0"/>
    <s v="Qubec"/>
  </r>
  <r>
    <n v="2306"/>
    <s v="QC"/>
    <x v="8"/>
    <x v="0"/>
    <n v="43"/>
    <s v=""/>
    <s v=""/>
    <x v="0"/>
    <x v="3"/>
    <x v="0"/>
    <s v="Pasteurized"/>
    <x v="3"/>
    <s v="Fromage Frais"/>
    <x v="0"/>
    <s v="Qubec"/>
  </r>
  <r>
    <n v="2307"/>
    <s v="QC"/>
    <x v="8"/>
    <x v="1"/>
    <n v="58"/>
    <s v="It has flavous of butter, fresh mushrooms and hazelnuts that become more pronounced with age"/>
    <s v="It has a bloomy rind with a creamy interior"/>
    <x v="0"/>
    <x v="4"/>
    <x v="1"/>
    <s v="Pasteurized"/>
    <x v="2"/>
    <s v="Légère Brise du Matin"/>
    <x v="0"/>
    <s v="Qubec"/>
  </r>
  <r>
    <n v="2308"/>
    <s v="QC"/>
    <x v="8"/>
    <x v="1"/>
    <n v="34"/>
    <s v="It exudes rich nutty, buttery touches, and its orange rind gives it a melt in your mouth caramel flavour"/>
    <s v="It is a hard cheese with a orangy washed rind"/>
    <x v="0"/>
    <x v="0"/>
    <x v="1"/>
    <s v="Pasteurized"/>
    <x v="0"/>
    <s v="Pacific Rock"/>
    <x v="1"/>
    <s v="Qubec"/>
  </r>
  <r>
    <n v="2309"/>
    <s v="QC"/>
    <x v="8"/>
    <x v="1"/>
    <n v="50"/>
    <s v="A perfect harmonie of mushrooms, cream and fresh butter flavours"/>
    <s v="It is a soft cheese with a washed rind"/>
    <x v="0"/>
    <x v="4"/>
    <x v="1"/>
    <s v="Pasteurized"/>
    <x v="0"/>
    <s v="Le Reflet de Portneuf"/>
    <x v="1"/>
    <s v="Qubec"/>
  </r>
  <r>
    <n v="2310"/>
    <s v="QC"/>
    <x v="8"/>
    <x v="1"/>
    <n v="50"/>
    <s v="A farm butter taste of warm milk, with aromas of freshly churned soil and forest mushrooms mingle"/>
    <s v="This is a soft triple cream cheese with a bloomy ashen rind"/>
    <x v="0"/>
    <x v="4"/>
    <x v="1"/>
    <s v="Pasteurized"/>
    <x v="2"/>
    <s v="Étoile de Saint-Raymond L'"/>
    <x v="1"/>
    <s v="Qubec"/>
  </r>
  <r>
    <n v="2311"/>
    <s v="QC"/>
    <x v="8"/>
    <x v="1"/>
    <n v="60"/>
    <s v="The taste of the cheese is made richer and milder by the roundness of the flavour imparted by fresh cow's milk"/>
    <s v=""/>
    <x v="0"/>
    <x v="3"/>
    <x v="3"/>
    <s v=""/>
    <x v="3"/>
    <s v="Mi Chèvre-Mi Vache"/>
    <x v="0"/>
    <s v="Qubec"/>
  </r>
  <r>
    <n v="2316"/>
    <s v="QC"/>
    <x v="8"/>
    <x v="1"/>
    <n v="60"/>
    <s v=""/>
    <s v=""/>
    <x v="0"/>
    <x v="4"/>
    <x v="1"/>
    <s v="Pasteurized"/>
    <x v="3"/>
    <s v="Crème Grand Cheddar"/>
    <x v="0"/>
    <s v="Qubec"/>
  </r>
  <r>
    <n v="2317"/>
    <s v="BC"/>
    <x v="2"/>
    <x v="2"/>
    <n v="38"/>
    <s v="Mild buttery flavour with a good kick of chillies"/>
    <s v="Artisan cheese"/>
    <x v="0"/>
    <x v="0"/>
    <x v="1"/>
    <s v="Pasteurized"/>
    <x v="3"/>
    <s v="Oo La La Hot Jill"/>
    <x v="1"/>
    <s v="British Columbia"/>
  </r>
  <r>
    <n v="2318"/>
    <s v="BC"/>
    <x v="2"/>
    <x v="2"/>
    <n v="38"/>
    <s v="Buttery flavour with hints of red wine"/>
    <s v="Artisanal cheese"/>
    <x v="0"/>
    <x v="0"/>
    <x v="1"/>
    <s v="Pasteurized"/>
    <x v="1"/>
    <s v="Tipsy Jill"/>
    <x v="1"/>
    <s v="British Columbia"/>
  </r>
  <r>
    <n v="2319"/>
    <s v="NS"/>
    <x v="4"/>
    <x v="2"/>
    <n v="40"/>
    <s v="Mushroomy flavour"/>
    <s v="A mild exceptionally creamy blue"/>
    <x v="0"/>
    <x v="1"/>
    <x v="1"/>
    <s v="Pasteurized"/>
    <x v="1"/>
    <s v="Urban Blue"/>
    <x v="1"/>
    <s v="Nova Scotia"/>
  </r>
  <r>
    <n v="2320"/>
    <s v="QC"/>
    <x v="8"/>
    <x v="1"/>
    <n v="55"/>
    <s v="with fine herbs"/>
    <s v="Stabalized"/>
    <x v="0"/>
    <x v="4"/>
    <x v="1"/>
    <s v="Pasteurized"/>
    <x v="3"/>
    <s v="Allegro 4%"/>
    <x v="0"/>
    <s v="Qubec"/>
  </r>
  <r>
    <n v="2321"/>
    <s v="QC"/>
    <x v="8"/>
    <x v="2"/>
    <n v="42"/>
    <s v="Natural smoked flavour"/>
    <s v=""/>
    <x v="0"/>
    <x v="6"/>
    <x v="1"/>
    <s v="Pasteurized"/>
    <x v="1"/>
    <s v="Bleu Fumé"/>
    <x v="1"/>
    <s v="Qubec"/>
  </r>
  <r>
    <n v="2325"/>
    <s v="QC"/>
    <x v="8"/>
    <x v="2"/>
    <n v="42"/>
    <s v="Pronounced taste"/>
    <s v=""/>
    <x v="0"/>
    <x v="1"/>
    <x v="1"/>
    <s v="Pasteurized"/>
    <x v="1"/>
    <s v="Bleu Extra-Fort"/>
    <x v="1"/>
    <s v="Qubec"/>
  </r>
  <r>
    <n v="2326"/>
    <s v="QC"/>
    <x v="8"/>
    <x v="1"/>
    <n v="39"/>
    <s v="Nutty flavour becoming more pungent with age"/>
    <s v=""/>
    <x v="0"/>
    <x v="0"/>
    <x v="1"/>
    <s v="Pasteurized"/>
    <x v="3"/>
    <s v="Raftman"/>
    <x v="1"/>
    <s v="Qubec"/>
  </r>
  <r>
    <n v="2327"/>
    <s v="QC"/>
    <x v="8"/>
    <x v="2"/>
    <n v="39"/>
    <s v=""/>
    <s v=""/>
    <x v="0"/>
    <x v="0"/>
    <x v="1"/>
    <s v="Pasteurized"/>
    <x v="3"/>
    <s v="Fontaine (La)"/>
    <x v="1"/>
    <s v="Qubec"/>
  </r>
  <r>
    <n v="2328"/>
    <s v="QC"/>
    <x v="8"/>
    <x v="2"/>
    <n v="41"/>
    <s v="Lightly salted"/>
    <s v=""/>
    <x v="0"/>
    <x v="3"/>
    <x v="1"/>
    <s v="Pasteurized"/>
    <x v="3"/>
    <s v="Fromage en grain"/>
    <x v="1"/>
    <s v="Qubec"/>
  </r>
  <r>
    <n v="2329"/>
    <s v="QC"/>
    <x v="8"/>
    <x v="1"/>
    <n v="39"/>
    <s v=""/>
    <s v=""/>
    <x v="0"/>
    <x v="0"/>
    <x v="1"/>
    <s v="Pasteurized"/>
    <x v="3"/>
    <s v="Albert Hébert (1ière génération)"/>
    <x v="1"/>
    <s v="Qubec"/>
  </r>
  <r>
    <n v="2330"/>
    <s v="QC"/>
    <x v="8"/>
    <x v="1"/>
    <n v="39"/>
    <s v="Nutty flavour becoming more pungent with age"/>
    <s v=""/>
    <x v="0"/>
    <x v="0"/>
    <x v="1"/>
    <s v="Pasteurized"/>
    <x v="3"/>
    <s v="Donna Hébert (2ième génération)"/>
    <x v="1"/>
    <s v="Qubec"/>
  </r>
  <r>
    <n v="2331"/>
    <s v="QC"/>
    <x v="8"/>
    <x v="1"/>
    <n v="39"/>
    <s v=""/>
    <s v=""/>
    <x v="0"/>
    <x v="0"/>
    <x v="1"/>
    <s v="Pasteurized"/>
    <x v="3"/>
    <s v="Gilles Hébert (3ième génération)"/>
    <x v="1"/>
    <s v="Qubec"/>
  </r>
  <r>
    <n v="2332"/>
    <s v="QC"/>
    <x v="8"/>
    <x v="1"/>
    <n v="39"/>
    <s v=""/>
    <s v=""/>
    <x v="0"/>
    <x v="0"/>
    <x v="1"/>
    <s v="Pasteurized"/>
    <x v="3"/>
    <s v="Mario Hébert (4ième génération)"/>
    <x v="1"/>
    <s v="Qubec"/>
  </r>
  <r>
    <n v="2333"/>
    <s v="QC"/>
    <x v="8"/>
    <x v="2"/>
    <n v="43"/>
    <s v="Natural smoked flavour"/>
    <s v=""/>
    <x v="0"/>
    <x v="0"/>
    <x v="1"/>
    <s v="Pasteurized"/>
    <x v="1"/>
    <s v="Fontina Fumé"/>
    <x v="1"/>
    <s v="Qubec"/>
  </r>
  <r>
    <n v="2334"/>
    <s v="QC"/>
    <x v="8"/>
    <x v="1"/>
    <n v="40"/>
    <s v="Mild and fruity flavour"/>
    <s v=""/>
    <x v="0"/>
    <x v="0"/>
    <x v="1"/>
    <s v="Pasteurized"/>
    <x v="3"/>
    <s v="Cogruet"/>
    <x v="0"/>
    <s v="Qubec"/>
  </r>
  <r>
    <n v="2335"/>
    <s v="QC"/>
    <x v="8"/>
    <x v="1"/>
    <n v="39"/>
    <s v="Roasted garlic taste"/>
    <s v=""/>
    <x v="0"/>
    <x v="0"/>
    <x v="1"/>
    <s v="Pasteurized"/>
    <x v="2"/>
    <s v="Tomme des cantons"/>
    <x v="1"/>
    <s v="Qubec"/>
  </r>
  <r>
    <n v="2341"/>
    <s v="QC"/>
    <x v="8"/>
    <x v="0"/>
    <n v="75"/>
    <s v=""/>
    <s v=""/>
    <x v="0"/>
    <x v="3"/>
    <x v="1"/>
    <s v="Pasteurized"/>
    <x v="3"/>
    <s v="p'tit blanchon (le)"/>
    <x v="0"/>
    <s v="Qubec"/>
  </r>
  <r>
    <n v="2342"/>
    <s v="QC"/>
    <x v="8"/>
    <x v="2"/>
    <n v="50"/>
    <s v="Milk and cream flavour"/>
    <s v=""/>
    <x v="0"/>
    <x v="3"/>
    <x v="1"/>
    <s v="Pasteurized"/>
    <x v="2"/>
    <s v="Pont Tournant (Le)"/>
    <x v="0"/>
    <s v="Qubec"/>
  </r>
  <r>
    <n v="2343"/>
    <s v="QC"/>
    <x v="8"/>
    <x v="2"/>
    <n v="58"/>
    <s v="Nutty flavour"/>
    <s v=""/>
    <x v="0"/>
    <x v="3"/>
    <x v="1"/>
    <s v="Pasteurized"/>
    <x v="2"/>
    <s v="Côte-Sud (Le)"/>
    <x v="0"/>
    <s v="Qubec"/>
  </r>
  <r>
    <n v="2344"/>
    <s v="QC"/>
    <x v="8"/>
    <x v="2"/>
    <n v="56"/>
    <s v=""/>
    <s v="It has a white duvet crust"/>
    <x v="0"/>
    <x v="4"/>
    <x v="1"/>
    <s v="Pasteurized"/>
    <x v="1"/>
    <s v="L'Aubert de Gaspé"/>
    <x v="0"/>
    <s v="Qubec"/>
  </r>
  <r>
    <n v="2345"/>
    <s v="QC"/>
    <x v="8"/>
    <x v="1"/>
    <n v="42"/>
    <s v="Smoked in maple wood"/>
    <s v=""/>
    <x v="0"/>
    <x v="1"/>
    <x v="1"/>
    <s v="Pasteurized"/>
    <x v="1"/>
    <s v="Trésor du Fumoir"/>
    <x v="0"/>
    <s v="Qubec"/>
  </r>
  <r>
    <n v="2346"/>
    <s v="QC"/>
    <x v="8"/>
    <x v="0"/>
    <n v="45"/>
    <s v=""/>
    <s v=""/>
    <x v="0"/>
    <x v="1"/>
    <x v="1"/>
    <s v="Thermised"/>
    <x v="1"/>
    <s v="Religieuse"/>
    <x v="1"/>
    <s v="Qubec"/>
  </r>
  <r>
    <n v="2347"/>
    <s v="QC"/>
    <x v="8"/>
    <x v="2"/>
    <n v="50"/>
    <s v="Mild almond flavour"/>
    <s v=""/>
    <x v="0"/>
    <x v="6"/>
    <x v="0"/>
    <s v="Pasteurized"/>
    <x v="1"/>
    <s v="Fleur des Monts (Les)"/>
    <x v="1"/>
    <s v="Qubec"/>
  </r>
  <r>
    <n v="2348"/>
    <s v="QC"/>
    <x v="8"/>
    <x v="2"/>
    <n v="40"/>
    <s v="Mild flavoured"/>
    <s v=""/>
    <x v="0"/>
    <x v="6"/>
    <x v="0"/>
    <s v="Pasteurized"/>
    <x v="1"/>
    <s v="Bleu (Le)"/>
    <x v="0"/>
    <s v="Qubec"/>
  </r>
  <r>
    <n v="2349"/>
    <s v="QC"/>
    <x v="8"/>
    <x v="2"/>
    <n v="50"/>
    <s v="It explodes with vanilla flavour to start, then goes through a strong espresso flavour to finish with a delicious dark chocolate taste."/>
    <s v=""/>
    <x v="0"/>
    <x v="1"/>
    <x v="1"/>
    <s v="Pasteurized"/>
    <x v="0"/>
    <s v="Récompense (La)"/>
    <x v="0"/>
    <s v="Qubec"/>
  </r>
  <r>
    <n v="2351"/>
    <s v="QC"/>
    <x v="8"/>
    <x v="1"/>
    <n v="55"/>
    <s v=""/>
    <s v=""/>
    <x v="0"/>
    <x v="1"/>
    <x v="1"/>
    <s v="Pasteurized"/>
    <x v="3"/>
    <s v="Allégro 7%"/>
    <x v="0"/>
    <s v="Qubec"/>
  </r>
  <r>
    <n v="2352"/>
    <s v="QC"/>
    <x v="8"/>
    <x v="0"/>
    <n v="46"/>
    <s v="It has a caramalized buttery flavour."/>
    <s v=""/>
    <x v="0"/>
    <x v="1"/>
    <x v="1"/>
    <s v="Pasteurized"/>
    <x v="1"/>
    <s v="Ballot (Le)"/>
    <x v="0"/>
    <s v="Qubec"/>
  </r>
  <r>
    <n v="2354"/>
    <s v="QC"/>
    <x v="8"/>
    <x v="0"/>
    <n v="41"/>
    <s v="Flavour of nuts and cream"/>
    <s v=""/>
    <x v="0"/>
    <x v="0"/>
    <x v="1"/>
    <s v="Pasteurized"/>
    <x v="1"/>
    <s v="Fleur de Weedon (La)"/>
    <x v="0"/>
    <s v="Qubec"/>
  </r>
  <r>
    <n v="2355"/>
    <s v="QC"/>
    <x v="8"/>
    <x v="0"/>
    <n v="42"/>
    <s v="Nutty flavour"/>
    <s v=""/>
    <x v="0"/>
    <x v="0"/>
    <x v="1"/>
    <s v="Pasteurized"/>
    <x v="3"/>
    <s v="Épave (L')"/>
    <x v="0"/>
    <s v="Qubec"/>
  </r>
  <r>
    <n v="2356"/>
    <s v="QC"/>
    <x v="8"/>
    <x v="2"/>
    <n v="39"/>
    <s v="Its taste has hints of mushrooms and nuts."/>
    <s v=""/>
    <x v="0"/>
    <x v="0"/>
    <x v="1"/>
    <s v="Thermised"/>
    <x v="4"/>
    <s v="Herman (Le)"/>
    <x v="1"/>
    <s v="Qubec"/>
  </r>
  <r>
    <n v="2357"/>
    <s v="QC"/>
    <x v="8"/>
    <x v="2"/>
    <n v="40"/>
    <s v="The cheese is a little salty with notes of wine and hazelnut"/>
    <s v=""/>
    <x v="0"/>
    <x v="1"/>
    <x v="1"/>
    <s v="Thermised"/>
    <x v="1"/>
    <s v="Porto Bleu (Le)"/>
    <x v="0"/>
    <s v="Qubec"/>
  </r>
  <r>
    <n v="2358"/>
    <s v="QC"/>
    <x v="8"/>
    <x v="2"/>
    <n v="46"/>
    <s v="A subtle taste of almond and milk"/>
    <s v=""/>
    <x v="0"/>
    <x v="0"/>
    <x v="1"/>
    <s v="Thermised"/>
    <x v="1"/>
    <s v="Tablée (La)"/>
    <x v="0"/>
    <s v="Qubec"/>
  </r>
  <r>
    <n v="2359"/>
    <s v="QC"/>
    <x v="8"/>
    <x v="2"/>
    <n v="40"/>
    <s v="This cheese has a hazelnut flavour and is slightly salty"/>
    <s v=""/>
    <x v="0"/>
    <x v="1"/>
    <x v="0"/>
    <s v="Raw Milk"/>
    <x v="1"/>
    <s v="Étoile Bleue de Saint-Rémi (L')"/>
    <x v="0"/>
    <s v="Qubec"/>
  </r>
  <r>
    <n v="2360"/>
    <s v="NB"/>
    <x v="0"/>
    <x v="0"/>
    <n v="50"/>
    <s v="With a pepper and garlic flavour"/>
    <s v="Creamy cheese with pepper and garlic"/>
    <x v="0"/>
    <x v="3"/>
    <x v="2"/>
    <s v="Pasteurized"/>
    <x v="1"/>
    <s v="Poivroux (Le)"/>
    <x v="0"/>
    <s v="New Brunswick"/>
  </r>
  <r>
    <n v="2361"/>
    <s v="NB"/>
    <x v="0"/>
    <x v="0"/>
    <n v="50"/>
    <s v="Mild flavour"/>
    <s v=""/>
    <x v="0"/>
    <x v="4"/>
    <x v="2"/>
    <s v="Pasteurized"/>
    <x v="1"/>
    <s v="Petit lardé (Le)"/>
    <x v="0"/>
    <s v="New Brunswick"/>
  </r>
  <r>
    <n v="2362"/>
    <s v="QC"/>
    <x v="8"/>
    <x v="0"/>
    <n v="68"/>
    <s v=""/>
    <s v=""/>
    <x v="0"/>
    <x v="1"/>
    <x v="0"/>
    <s v=""/>
    <x v="0"/>
    <s v="Gigot (Le)"/>
    <x v="1"/>
    <s v="Qubec"/>
  </r>
  <r>
    <n v="2372"/>
    <s v="AB"/>
    <x v="3"/>
    <x v="0"/>
    <n v="55"/>
    <s v="This cheese is available in the following flavours: Tomato Basil, Herb and Garlic, Peppercorn, olive as well as plain"/>
    <s v="It is tangy and salty with a smooth creamy texture."/>
    <x v="0"/>
    <x v="1"/>
    <x v="2"/>
    <s v="Pasteurized"/>
    <x v="3"/>
    <s v="Traditional Feta"/>
    <x v="0"/>
    <s v="Alberta"/>
  </r>
  <r>
    <n v="2374"/>
    <s v="QC"/>
    <x v="8"/>
    <x v="1"/>
    <n v="39"/>
    <s v="Hazelnut taste that sharpens with age. Available: mild, medium, strong, extra-strong 1 year, 2 years and 3 years"/>
    <s v=""/>
    <x v="1"/>
    <x v="0"/>
    <x v="1"/>
    <s v="Thermised"/>
    <x v="3"/>
    <s v="Cheddar (Biobio) - Mild, medium and strong"/>
    <x v="1"/>
    <s v="Qubec"/>
  </r>
  <r>
    <n v="2375"/>
    <s v="QC"/>
    <x v="8"/>
    <x v="1"/>
    <n v="43"/>
    <s v="Young, mild-tasting soft cheese"/>
    <s v=""/>
    <x v="1"/>
    <x v="0"/>
    <x v="1"/>
    <s v="Thermised"/>
    <x v="3"/>
    <s v="Gouda (Biobio)"/>
    <x v="0"/>
    <s v="Qubec"/>
  </r>
  <r>
    <n v="2376"/>
    <s v="SK"/>
    <x v="9"/>
    <x v="2"/>
    <n v="17"/>
    <s v="Salty with a slightly lemony flavour profile. It's excellent on barbecued burgers or grilled salmon, with watermelon salads, and is an excellent addition to any summer recipe. Made from Saskatchewan"/>
    <s v=""/>
    <x v="0"/>
    <x v="4"/>
    <x v="1"/>
    <s v="Pasteurized"/>
    <x v="1"/>
    <s v="Coteau Hills Creamery Balkan Feta Style"/>
    <x v="1"/>
    <s v="Saskatchewan"/>
  </r>
  <r>
    <n v="2377"/>
    <s v="AB"/>
    <x v="3"/>
    <x v="2"/>
    <n v="31"/>
    <s v="Dill, buttery and creamy lactic flavor"/>
    <s v="Daily fresh"/>
    <x v="0"/>
    <x v="0"/>
    <x v="1"/>
    <s v="Pasteurized"/>
    <x v="3"/>
    <s v="Dill Cheddar"/>
    <x v="1"/>
    <s v="Alberta"/>
  </r>
  <r>
    <n v="2378"/>
    <s v="AB"/>
    <x v="3"/>
    <x v="2"/>
    <n v="31"/>
    <s v="Garlic, buttery and creamy lactic flavor"/>
    <s v="Daily fresh"/>
    <x v="0"/>
    <x v="0"/>
    <x v="1"/>
    <s v="Pasteurized"/>
    <x v="3"/>
    <s v="Garlic Cheddar"/>
    <x v="1"/>
    <s v="Alberta"/>
  </r>
  <r>
    <n v="2379"/>
    <s v="AB"/>
    <x v="3"/>
    <x v="2"/>
    <n v="42"/>
    <s v="Slightly salted, whey aftertaste"/>
    <s v="Daily Fresh"/>
    <x v="0"/>
    <x v="6"/>
    <x v="8"/>
    <s v=""/>
    <x v="1"/>
    <s v="Cheese Curds"/>
    <x v="1"/>
    <s v="Alberta"/>
  </r>
  <r>
    <n v="2380"/>
    <s v="AB"/>
    <x v="3"/>
    <x v="2"/>
    <n v="40"/>
    <s v="Smoky, buttery and creamy lactic flavor"/>
    <s v="Daily Fresh"/>
    <x v="0"/>
    <x v="0"/>
    <x v="1"/>
    <s v="Pasteurized"/>
    <x v="3"/>
    <s v="Smoky/Smoke Cheddar (Apple Wood)"/>
    <x v="1"/>
    <s v="Alberta"/>
  </r>
  <r>
    <n v="2381"/>
    <s v="NB"/>
    <x v="0"/>
    <x v="0"/>
    <n v="50"/>
    <s v=""/>
    <s v="Trapezoidal-shaped cheese with a washed orange rind and complex fruity aromas."/>
    <x v="0"/>
    <x v="1"/>
    <x v="2"/>
    <s v="Pasteurized"/>
    <x v="0"/>
    <s v="Cancre"/>
    <x v="0"/>
    <s v="New Brunswick"/>
  </r>
  <r>
    <n v="2382"/>
    <s v="NB"/>
    <x v="0"/>
    <x v="0"/>
    <n v="50"/>
    <s v=""/>
    <s v="A cheese with a strong taste"/>
    <x v="0"/>
    <x v="1"/>
    <x v="2"/>
    <s v="Pasteurized"/>
    <x v="1"/>
    <s v="Brigand"/>
    <x v="0"/>
    <s v="New Brunswick"/>
  </r>
  <r>
    <n v="2383"/>
    <s v="NB"/>
    <x v="0"/>
    <x v="0"/>
    <n v="50"/>
    <s v="Mild and creamy taste"/>
    <s v="Ashed cheese with maritime pine ashes"/>
    <x v="0"/>
    <x v="4"/>
    <x v="2"/>
    <s v="Pasteurized"/>
    <x v="1"/>
    <s v="Gavroche"/>
    <x v="0"/>
    <s v="New Brunswick"/>
  </r>
  <r>
    <n v="2384"/>
    <s v="NB"/>
    <x v="0"/>
    <x v="0"/>
    <n v="50"/>
    <s v="Maple Hazelnut"/>
    <s v="Fresh goat ladle-molded"/>
    <x v="0"/>
    <x v="4"/>
    <x v="2"/>
    <s v="Pasteurized"/>
    <x v="1"/>
    <s v="Petit frais aux noix et sirop d'érable"/>
    <x v="0"/>
    <s v="New Brunswick"/>
  </r>
  <r>
    <n v="2385"/>
    <s v="NB"/>
    <x v="0"/>
    <x v="0"/>
    <n v="50"/>
    <s v="pepper and garlic"/>
    <s v="Small aperitif cheese balls"/>
    <x v="0"/>
    <x v="1"/>
    <x v="2"/>
    <s v="Pasteurized"/>
    <x v="1"/>
    <s v="Petits caprice"/>
    <x v="0"/>
    <s v="New Brunswick"/>
  </r>
  <r>
    <n v="2386"/>
    <s v="NB"/>
    <x v="0"/>
    <x v="0"/>
    <n v="50"/>
    <s v="Unsweetened cranberry"/>
    <s v="Fresh goat ladle-molded"/>
    <x v="0"/>
    <x v="3"/>
    <x v="2"/>
    <s v="Pasteurized"/>
    <x v="1"/>
    <s v="Petit frais aux canneberges"/>
    <x v="0"/>
    <s v="New Brunswick"/>
  </r>
  <r>
    <n v="2387"/>
    <s v="NS"/>
    <x v="4"/>
    <x v="0"/>
    <n v="37"/>
    <s v="Dill, Caraway, Chili Pepper, Cumin, Sage, Chives, Peppercorn, Poppy Seed and Garlic, Blueberry and Cranberry."/>
    <s v="Fresh curds through a variety of added Organic Herbs and Spices to the Mature Aged Cheddar with a rich mellow nutty flavour."/>
    <x v="1"/>
    <x v="5"/>
    <x v="1"/>
    <s v="Pasteurized"/>
    <x v="1"/>
    <s v="Knoydart"/>
    <x v="1"/>
    <s v="Nova Scotia"/>
  </r>
  <r>
    <n v="2388"/>
    <s v="AB"/>
    <x v="3"/>
    <x v="1"/>
    <n v="46"/>
    <s v="Mild and Deep Flavor"/>
    <s v="Low in Sodium and Fat"/>
    <x v="0"/>
    <x v="3"/>
    <x v="1"/>
    <s v="Pasteurized"/>
    <x v="1"/>
    <s v="FRESK-O"/>
    <x v="0"/>
    <s v="Alberta"/>
  </r>
  <r>
    <n v="2389"/>
    <s v="NS"/>
    <x v="4"/>
    <x v="2"/>
    <n v="40"/>
    <s v="Grassy tang and restrained saltiness that reflects the land and sea of Nova Scotia."/>
    <s v=""/>
    <x v="0"/>
    <x v="2"/>
    <x v="0"/>
    <s v="Thermised"/>
    <x v="1"/>
    <s v="Electric Blue"/>
    <x v="1"/>
    <s v="Nova Scotia"/>
  </r>
  <r>
    <n v="2390"/>
    <s v="NS"/>
    <x v="4"/>
    <x v="2"/>
    <n v="34"/>
    <s v="Sweet and tangy flavours combine with hoppy notes."/>
    <s v=""/>
    <x v="0"/>
    <x v="1"/>
    <x v="0"/>
    <s v="Thermised"/>
    <x v="0"/>
    <s v="Hip Hop"/>
    <x v="1"/>
    <s v="Nova Scotia"/>
  </r>
  <r>
    <n v="2391"/>
    <s v="AB"/>
    <x v="3"/>
    <x v="2"/>
    <n v="31.5"/>
    <s v="Available in different flavor: original, herb and garlic, chive and onion, BBQ, dill and chili."/>
    <s v="Soft Squeaky Fresh Cheese."/>
    <x v="0"/>
    <x v="3"/>
    <x v="1"/>
    <s v="Pasteurized"/>
    <x v="3"/>
    <s v="Super Fresh Cheese Curds"/>
    <x v="1"/>
    <s v="Alber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6A68C7-4B83-4864-94E2-C1E1B389C6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5">
    <pivotField showAll="0"/>
    <pivotField showAll="0"/>
    <pivotField showAll="0"/>
    <pivotField showAll="0">
      <items count="4">
        <item x="2"/>
        <item x="0"/>
        <item x="1"/>
        <item t="default"/>
      </items>
    </pivotField>
    <pivotField numFmtId="164" showAll="0"/>
    <pivotField showAll="0"/>
    <pivotField showAll="0"/>
    <pivotField showAll="0">
      <items count="3">
        <item x="0"/>
        <item x="1"/>
        <item t="default"/>
      </items>
    </pivotField>
    <pivotField showAll="0"/>
    <pivotField axis="axisRow" dataField="1" showAll="0" measureFilter="1" sortType="ascending">
      <items count="10">
        <item x="8"/>
        <item x="6"/>
        <item x="1"/>
        <item x="3"/>
        <item x="7"/>
        <item x="0"/>
        <item x="4"/>
        <item x="5"/>
        <item x="2"/>
        <item t="default"/>
      </items>
      <autoSortScope>
        <pivotArea dataOnly="0" outline="0" fieldPosition="0">
          <references count="1">
            <reference field="4294967294" count="1" selected="0">
              <x v="0"/>
            </reference>
          </references>
        </pivotArea>
      </autoSortScope>
    </pivotField>
    <pivotField showAll="0"/>
    <pivotField showAll="0">
      <items count="6">
        <item x="1"/>
        <item x="2"/>
        <item x="4"/>
        <item x="3"/>
        <item x="0"/>
        <item t="default"/>
      </items>
    </pivotField>
    <pivotField showAll="0"/>
    <pivotField showAll="0">
      <items count="3">
        <item x="1"/>
        <item x="0"/>
        <item t="default"/>
      </items>
    </pivotField>
    <pivotField showAll="0"/>
  </pivotFields>
  <rowFields count="1">
    <field x="9"/>
  </rowFields>
  <rowItems count="4">
    <i>
      <x v="5"/>
    </i>
    <i>
      <x v="8"/>
    </i>
    <i>
      <x v="2"/>
    </i>
    <i t="grand">
      <x/>
    </i>
  </rowItems>
  <colItems count="1">
    <i/>
  </colItems>
  <dataFields count="1">
    <dataField name="Count of MilkTypeEn" fld="9" subtotal="count" baseField="0" baseItem="0"/>
  </dataFields>
  <chartFormats count="5">
    <chartFormat chart="0" format="0"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9" count="1" selected="0">
            <x v="5"/>
          </reference>
        </references>
      </pivotArea>
    </chartFormat>
    <chartFormat chart="10" format="18">
      <pivotArea type="data" outline="0" fieldPosition="0">
        <references count="2">
          <reference field="4294967294" count="1" selected="0">
            <x v="0"/>
          </reference>
          <reference field="9" count="1" selected="0">
            <x v="8"/>
          </reference>
        </references>
      </pivotArea>
    </chartFormat>
    <chartFormat chart="10" format="19">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BBF740-232B-40CD-8B58-F6CB9C8FA5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5">
    <pivotField showAll="0"/>
    <pivotField showAll="0"/>
    <pivotField axis="axisRow" showAll="0" measureFilter="1" sortType="ascending">
      <items count="13">
        <item x="3"/>
        <item x="2"/>
        <item m="1" x="10"/>
        <item x="0"/>
        <item x="6"/>
        <item x="4"/>
        <item x="1"/>
        <item x="7"/>
        <item m="1" x="11"/>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showAll="0"/>
    <pivotField showAll="0">
      <items count="3">
        <item x="0"/>
        <item x="1"/>
        <item t="default"/>
      </items>
    </pivotField>
    <pivotField dataField="1" showAll="0"/>
    <pivotField showAll="0"/>
    <pivotField showAll="0"/>
    <pivotField showAll="0">
      <items count="6">
        <item x="1"/>
        <item x="2"/>
        <item x="4"/>
        <item x="3"/>
        <item x="0"/>
        <item t="default"/>
      </items>
    </pivotField>
    <pivotField showAll="0"/>
    <pivotField showAll="0">
      <items count="3">
        <item x="1"/>
        <item x="0"/>
        <item t="default"/>
      </items>
    </pivotField>
    <pivotField showAll="0"/>
  </pivotFields>
  <rowFields count="1">
    <field x="2"/>
  </rowFields>
  <rowItems count="4">
    <i>
      <x v="1"/>
    </i>
    <i>
      <x v="6"/>
    </i>
    <i>
      <x v="10"/>
    </i>
    <i t="grand">
      <x/>
    </i>
  </rowItems>
  <colItems count="1">
    <i/>
  </colItems>
  <dataFields count="1">
    <dataField name="Count of CategoryTypeEn" fld="8" subtotal="count" baseField="0" baseItem="0"/>
  </dataFields>
  <chartFormats count="8">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 count="1" selected="0">
            <x v="1"/>
          </reference>
        </references>
      </pivotArea>
    </chartFormat>
    <chartFormat chart="4" format="18">
      <pivotArea type="data" outline="0" fieldPosition="0">
        <references count="2">
          <reference field="4294967294" count="1" selected="0">
            <x v="0"/>
          </reference>
          <reference field="2" count="1" selected="0">
            <x v="6"/>
          </reference>
        </references>
      </pivotArea>
    </chartFormat>
    <chartFormat chart="4" format="19">
      <pivotArea type="data" outline="0" fieldPosition="0">
        <references count="2">
          <reference field="4294967294" count="1" selected="0">
            <x v="0"/>
          </reference>
          <reference field="2" count="1" selected="0">
            <x v="10"/>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2" count="1" selected="0">
            <x v="1"/>
          </reference>
        </references>
      </pivotArea>
    </chartFormat>
    <chartFormat chart="5" format="22">
      <pivotArea type="data" outline="0" fieldPosition="0">
        <references count="2">
          <reference field="4294967294" count="1" selected="0">
            <x v="0"/>
          </reference>
          <reference field="2" count="1" selected="0">
            <x v="6"/>
          </reference>
        </references>
      </pivotArea>
    </chartFormat>
    <chartFormat chart="5" format="23">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2FCC62-CC7F-46C0-A581-E011E96EA8B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C20" firstHeaderRow="1" firstDataRow="1" firstDataCol="2"/>
  <pivotFields count="15">
    <pivotField compact="0" outline="0" showAll="0"/>
    <pivotField compact="0" outline="0" showAll="0"/>
    <pivotField compact="0" outline="0" showAll="0"/>
    <pivotField compact="0" outline="0" showAll="0">
      <items count="4">
        <item x="2"/>
        <item x="0"/>
        <item x="1"/>
        <item t="default"/>
      </items>
    </pivotField>
    <pivotField dataField="1" compact="0" numFmtId="164" outline="0" showAll="0"/>
    <pivotField compact="0" outline="0" showAll="0"/>
    <pivotField compact="0" outline="0" showAll="0"/>
    <pivotField compact="0" outline="0" showAll="0">
      <items count="3">
        <item x="0"/>
        <item x="1"/>
        <item t="default"/>
      </items>
    </pivotField>
    <pivotField axis="axisRow" compact="0" outline="0" showAll="0">
      <items count="8">
        <item x="6"/>
        <item x="0"/>
        <item x="3"/>
        <item x="5"/>
        <item x="1"/>
        <item x="4"/>
        <item x="2"/>
        <item t="default"/>
      </items>
    </pivotField>
    <pivotField compact="0" outline="0" showAll="0"/>
    <pivotField compact="0" outline="0" showAll="0"/>
    <pivotField compact="0" outline="0" showAll="0">
      <items count="6">
        <item x="1"/>
        <item x="2"/>
        <item x="4"/>
        <item x="3"/>
        <item x="0"/>
        <item t="default"/>
      </items>
    </pivotField>
    <pivotField compact="0" outline="0" showAll="0"/>
    <pivotField axis="axisRow" compact="0" outline="0" showAll="0">
      <items count="3">
        <item x="1"/>
        <item x="0"/>
        <item t="default"/>
      </items>
    </pivotField>
    <pivotField compact="0" outline="0" showAll="0"/>
  </pivotFields>
  <rowFields count="2">
    <field x="13"/>
    <field x="8"/>
  </rowFields>
  <rowItems count="17">
    <i>
      <x/>
      <x/>
    </i>
    <i r="1">
      <x v="1"/>
    </i>
    <i r="1">
      <x v="2"/>
    </i>
    <i r="1">
      <x v="3"/>
    </i>
    <i r="1">
      <x v="4"/>
    </i>
    <i r="1">
      <x v="5"/>
    </i>
    <i r="1">
      <x v="6"/>
    </i>
    <i t="default">
      <x/>
    </i>
    <i>
      <x v="1"/>
      <x/>
    </i>
    <i r="1">
      <x v="1"/>
    </i>
    <i r="1">
      <x v="2"/>
    </i>
    <i r="1">
      <x v="3"/>
    </i>
    <i r="1">
      <x v="4"/>
    </i>
    <i r="1">
      <x v="5"/>
    </i>
    <i r="1">
      <x v="6"/>
    </i>
    <i t="default">
      <x v="1"/>
    </i>
    <i t="grand">
      <x/>
    </i>
  </rowItems>
  <colItems count="1">
    <i/>
  </colItems>
  <dataFields count="1">
    <dataField name="Average of MoisturePercent" fld="4" subtotal="average" baseField="13" baseItem="0" numFmtId="165"/>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8315D-45E3-426A-8550-5B660CF035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vince">
  <location ref="A3:B14" firstHeaderRow="1" firstDataRow="1" firstDataCol="1"/>
  <pivotFields count="15">
    <pivotField showAll="0"/>
    <pivotField showAll="0"/>
    <pivotField axis="axisRow" showAll="0">
      <items count="13">
        <item x="3"/>
        <item x="2"/>
        <item m="1" x="10"/>
        <item x="0"/>
        <item x="6"/>
        <item x="4"/>
        <item x="1"/>
        <item x="7"/>
        <item m="1" x="11"/>
        <item x="9"/>
        <item x="8"/>
        <item x="5"/>
        <item t="default"/>
      </items>
    </pivotField>
    <pivotField showAll="0">
      <items count="4">
        <item x="2"/>
        <item x="0"/>
        <item x="1"/>
        <item t="default"/>
      </items>
    </pivotField>
    <pivotField numFmtId="164" showAll="0"/>
    <pivotField showAll="0"/>
    <pivotField showAll="0"/>
    <pivotField showAll="0">
      <items count="3">
        <item x="0"/>
        <item x="1"/>
        <item t="default"/>
      </items>
    </pivotField>
    <pivotField dataField="1" showAll="0"/>
    <pivotField showAll="0"/>
    <pivotField showAll="0"/>
    <pivotField showAll="0">
      <items count="6">
        <item x="1"/>
        <item x="2"/>
        <item x="4"/>
        <item x="3"/>
        <item x="0"/>
        <item t="default"/>
      </items>
    </pivotField>
    <pivotField showAll="0"/>
    <pivotField showAll="0">
      <items count="3">
        <item x="1"/>
        <item x="0"/>
        <item t="default"/>
      </items>
    </pivotField>
    <pivotField showAll="0"/>
  </pivotFields>
  <rowFields count="1">
    <field x="2"/>
  </rowFields>
  <rowItems count="11">
    <i>
      <x/>
    </i>
    <i>
      <x v="1"/>
    </i>
    <i>
      <x v="3"/>
    </i>
    <i>
      <x v="4"/>
    </i>
    <i>
      <x v="5"/>
    </i>
    <i>
      <x v="6"/>
    </i>
    <i>
      <x v="7"/>
    </i>
    <i>
      <x v="9"/>
    </i>
    <i>
      <x v="10"/>
    </i>
    <i>
      <x v="11"/>
    </i>
    <i t="grand">
      <x/>
    </i>
  </rowItems>
  <colItems count="1">
    <i/>
  </colItems>
  <dataFields count="1">
    <dataField name="Count of CategoryTypeE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8F4105-287D-451B-8771-E6509829E890}" autoFormatId="16" applyNumberFormats="0" applyBorderFormats="0" applyFontFormats="0" applyPatternFormats="0" applyAlignmentFormats="0" applyWidthHeightFormats="0">
  <queryTableRefresh nextId="16" unboundColumnsRight="1">
    <queryTableFields count="15">
      <queryTableField id="1" name="CheeseId" tableColumnId="1"/>
      <queryTableField id="2" name="ManufacturerProvCode" tableColumnId="2"/>
      <queryTableField id="14" dataBound="0" tableColumnId="14"/>
      <queryTableField id="3" name="ManufacturingTypeEn" tableColumnId="3"/>
      <queryTableField id="4" name="MoisturePercent" tableColumnId="4"/>
      <queryTableField id="5" name="FlavourEn" tableColumnId="5"/>
      <queryTableField id="6" name="CharacteristicsEn" tableColumnId="6"/>
      <queryTableField id="7" name="Organic" tableColumnId="7"/>
      <queryTableField id="8" name="CategoryTypeEn" tableColumnId="8"/>
      <queryTableField id="9" name="MilkTypeEn" tableColumnId="9"/>
      <queryTableField id="10" name="MilkTreatmentTypeEn" tableColumnId="10"/>
      <queryTableField id="11" name="RindTypeEn" tableColumnId="11"/>
      <queryTableField id="12" name="CheeseName" tableColumnId="12"/>
      <queryTableField id="13" name="FatLevel" tableColumnId="13"/>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c" xr10:uid="{82317FA1-1956-4EF3-9CBC-B63EEFEFE639}" sourceName="Organic">
  <pivotTables>
    <pivotTable tabId="8" name="PivotTable1"/>
    <pivotTable tabId="6" name="PivotTable4"/>
    <pivotTable tabId="4" name="PivotTable2"/>
    <pivotTable tabId="5" name="PivotTable3"/>
  </pivotTables>
  <data>
    <tabular pivotCacheId="21127176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ingTypeEn" xr10:uid="{6E1CCAFA-9D1F-4DAC-AA77-FAB03AA700DE}" sourceName="ManufacturingTypeEn">
  <pivotTables>
    <pivotTable tabId="8" name="PivotTable1"/>
    <pivotTable tabId="6" name="PivotTable4"/>
    <pivotTable tabId="4" name="PivotTable2"/>
    <pivotTable tabId="5" name="PivotTable3"/>
  </pivotTables>
  <data>
    <tabular pivotCacheId="211271762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ndTypeEn" xr10:uid="{7233A6CC-3BBD-4A45-8B5B-53A6AD190761}" sourceName="RindTypeEn">
  <pivotTables>
    <pivotTable tabId="8" name="PivotTable1"/>
    <pivotTable tabId="6" name="PivotTable4"/>
    <pivotTable tabId="4" name="PivotTable2"/>
    <pivotTable tabId="5" name="PivotTable3"/>
  </pivotTables>
  <data>
    <tabular pivotCacheId="2112717621">
      <items count="5">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Level" xr10:uid="{CBB878DB-FAD4-45B3-87BB-B4943428B15F}" sourceName="FatLevel">
  <pivotTables>
    <pivotTable tabId="8" name="PivotTable1"/>
    <pivotTable tabId="6" name="PivotTable4"/>
    <pivotTable tabId="4" name="PivotTable2"/>
    <pivotTable tabId="5" name="PivotTable3"/>
  </pivotTables>
  <data>
    <tabular pivotCacheId="21127176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ganic 1" xr10:uid="{E846A5C6-A15E-46AD-A5F5-72B8772B24C1}" cache="Slicer_Organic" caption="Organic" style="Slicer Style Custom" rowHeight="365760"/>
  <slicer name="ManufacturingTypeEn 1" xr10:uid="{0D5EA554-0D34-4D14-A717-4FCF75F320F2}" cache="Slicer_ManufacturingTypeEn" caption="ManufacturingTypeEn" style="Slicer Style Custom" rowHeight="365760"/>
  <slicer name="RindTypeEn 1" xr10:uid="{0C4C25D8-E66F-4CFE-8823-01F38C6A5601}" cache="Slicer_RindTypeEn" caption="RindTypeEn" style="Slicer Style Custom" rowHeight="365760"/>
  <slicer name="FatLevel 1" xr10:uid="{5EA20DA7-2BE9-4940-92F7-A84695BCA8F9}" cache="Slicer_FatLevel" caption="FatLevel" style="Slicer Style Custom"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785D25-539E-476B-966F-3EBE8D0288E1}" name="cheese_data" displayName="cheese_data" ref="A1:O1044" tableType="queryTable" totalsRowCount="1">
  <autoFilter ref="A1:O1043" xr:uid="{AB785D25-539E-476B-966F-3EBE8D0288E1}"/>
  <tableColumns count="15">
    <tableColumn id="1" xr3:uid="{D228C11E-56BB-4A54-9C02-30B0B3DBE58E}" uniqueName="1" name="CheeseId" totalsRowFunction="custom" queryTableFieldId="1">
      <totalsRowFormula>COUNTBLANK(cheese_data[CheeseId])</totalsRowFormula>
    </tableColumn>
    <tableColumn id="2" xr3:uid="{8B6D41AF-020D-4897-889E-A6C4F75F10CE}" uniqueName="2" name="ManufacturerProvCode" totalsRowFunction="custom" queryTableFieldId="2" dataDxfId="12">
      <totalsRowFormula>COUNTBLANK(cheese_data[ManufacturerProvCode])</totalsRowFormula>
    </tableColumn>
    <tableColumn id="14" xr3:uid="{D9A2900C-8459-446E-AE8C-64CBEC916882}" uniqueName="14" name="ManufacturerProvName" totalsRowFunction="custom" queryTableFieldId="14" dataDxfId="11">
      <calculatedColumnFormula>IF(B2="NB","New Brunswick",IF(B2="AB","Alberta",IF(B2="BC","British Columbia",IF(B2="MB","Manitoba",IF(B2="NL","Newfoundland and Labrador",IF(B2="NS","Nova Scotia",IF(B2="ON","Ontario",IF(B2="PE","Prince Edward Island",IF(B2="QC","Quebec",IF(B2="SK","Saskatchewan",""))))))))))</calculatedColumnFormula>
      <totalsRowFormula>COUNTBLANK(cheese_data[ManufacturerProvName])</totalsRowFormula>
    </tableColumn>
    <tableColumn id="3" xr3:uid="{68D4DDD9-9FCF-4E46-81DA-628ABE980EEA}" uniqueName="3" name="ManufacturingTypeEn" totalsRowFunction="custom" queryTableFieldId="3" dataDxfId="10">
      <totalsRowFormula>COUNTBLANK(cheese_data[ManufacturingTypeEn])</totalsRowFormula>
    </tableColumn>
    <tableColumn id="4" xr3:uid="{E58385A6-70BC-4FEE-848F-0AECDB49A329}" uniqueName="4" name="MoisturePercent" totalsRowFunction="custom" queryTableFieldId="4" dataDxfId="9">
      <totalsRowFormula>COUNTBLANK(cheese_data[MoisturePercent])</totalsRowFormula>
    </tableColumn>
    <tableColumn id="5" xr3:uid="{20DA8AE6-3C60-4AE6-B021-0D94B033EBFF}" uniqueName="5" name="FlavourEn" totalsRowFunction="custom" queryTableFieldId="5" dataDxfId="8">
      <totalsRowFormula>COUNTBLANK(cheese_data[FlavourEn])</totalsRowFormula>
    </tableColumn>
    <tableColumn id="6" xr3:uid="{AEE51184-57DD-4CC6-872C-B5914181B9BD}" uniqueName="6" name="CharacteristicsEn" totalsRowFunction="custom" queryTableFieldId="6" dataDxfId="7">
      <totalsRowFormula>COUNTBLANK(cheese_data[CharacteristicsEn])</totalsRowFormula>
    </tableColumn>
    <tableColumn id="7" xr3:uid="{60A00D22-A1C0-4A7D-8B23-5EFB532B70FB}" uniqueName="7" name="Organic" totalsRowFunction="custom" queryTableFieldId="7">
      <totalsRowFormula>COUNTBLANK(cheese_data[Organic])</totalsRowFormula>
    </tableColumn>
    <tableColumn id="8" xr3:uid="{209E2187-B74E-44E3-800E-4DD28D62FBD4}" uniqueName="8" name="CategoryTypeEn" totalsRowFunction="custom" queryTableFieldId="8" dataDxfId="6">
      <totalsRowFormula>COUNTBLANK(cheese_data[CategoryTypeEn])</totalsRowFormula>
    </tableColumn>
    <tableColumn id="9" xr3:uid="{4C004ADD-AFB8-4C44-8A6F-65013F2BE3EC}" uniqueName="9" name="MilkTypeEn" totalsRowFunction="custom" queryTableFieldId="9" dataDxfId="5">
      <totalsRowFormula>COUNTBLANK(cheese_data[MilkTypeEn])</totalsRowFormula>
    </tableColumn>
    <tableColumn id="10" xr3:uid="{8B0F352A-3269-4D62-B6CC-66D50C24F58E}" uniqueName="10" name="MilkTreatmentTypeEn" totalsRowFunction="custom" queryTableFieldId="10" dataDxfId="4">
      <totalsRowFormula>COUNTBLANK(cheese_data[MilkTreatmentTypeEn])</totalsRowFormula>
    </tableColumn>
    <tableColumn id="11" xr3:uid="{236C619C-7F3A-427F-928E-6781BAB71C86}" uniqueName="11" name="RindTypeEn" totalsRowFunction="custom" queryTableFieldId="11" dataDxfId="3">
      <totalsRowFormula>COUNTBLANK(cheese_data[RindTypeEn])</totalsRowFormula>
    </tableColumn>
    <tableColumn id="12" xr3:uid="{8A3891F9-200E-446F-A753-EE68EC275EAD}" uniqueName="12" name="CheeseName" totalsRowFunction="custom" queryTableFieldId="12" dataDxfId="2">
      <totalsRowFormula>COUNTBLANK(cheese_data[CheeseName])</totalsRowFormula>
    </tableColumn>
    <tableColumn id="13" xr3:uid="{AE1C371F-9902-4122-B4AA-1CA73CFC295A}" uniqueName="13" name="FatLevel" totalsRowFunction="custom" queryTableFieldId="13" dataDxfId="1">
      <totalsRowFormula>COUNTBLANK(cheese_data[FatLevel])</totalsRowFormula>
    </tableColumn>
    <tableColumn id="15" xr3:uid="{B2DF7259-2BDD-4877-B4C9-4F734FF8EE51}" uniqueName="15" name="Province" queryTableFieldId="15"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E7921-10CD-4380-BECB-CC075636C190}">
  <dimension ref="A1:A5"/>
  <sheetViews>
    <sheetView showGridLines="0" tabSelected="1" topLeftCell="A27" zoomScale="75" zoomScaleNormal="75" workbookViewId="0">
      <selection activeCell="AB9" sqref="AB9"/>
    </sheetView>
  </sheetViews>
  <sheetFormatPr defaultRowHeight="15" x14ac:dyDescent="0.25"/>
  <sheetData>
    <row r="1" customFormat="1" x14ac:dyDescent="0.25"/>
    <row r="2" customFormat="1" x14ac:dyDescent="0.25"/>
    <row r="3" customFormat="1" x14ac:dyDescent="0.25"/>
    <row r="4" customFormat="1" x14ac:dyDescent="0.25"/>
    <row r="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CAA1-9CB9-4340-AD80-696E131FBD08}">
  <dimension ref="A1:B15"/>
  <sheetViews>
    <sheetView workbookViewId="0">
      <selection activeCell="F11" sqref="F11"/>
    </sheetView>
  </sheetViews>
  <sheetFormatPr defaultRowHeight="15" x14ac:dyDescent="0.25"/>
  <cols>
    <col min="1" max="1" width="18" bestFit="1" customWidth="1"/>
  </cols>
  <sheetData>
    <row r="1" spans="1:2" x14ac:dyDescent="0.25">
      <c r="A1" s="4" t="s">
        <v>3</v>
      </c>
      <c r="B1" s="4"/>
    </row>
    <row r="2" spans="1:2" x14ac:dyDescent="0.25">
      <c r="A2" s="2"/>
      <c r="B2" s="2"/>
    </row>
    <row r="3" spans="1:2" x14ac:dyDescent="0.25">
      <c r="A3" s="2" t="s">
        <v>2257</v>
      </c>
      <c r="B3" s="2">
        <v>47.069814995131452</v>
      </c>
    </row>
    <row r="4" spans="1:2" x14ac:dyDescent="0.25">
      <c r="A4" s="2" t="s">
        <v>2258</v>
      </c>
      <c r="B4" s="2">
        <v>0.29947789956651144</v>
      </c>
    </row>
    <row r="5" spans="1:2" x14ac:dyDescent="0.25">
      <c r="A5" s="2" t="s">
        <v>2259</v>
      </c>
      <c r="B5" s="2">
        <v>46</v>
      </c>
    </row>
    <row r="6" spans="1:2" x14ac:dyDescent="0.25">
      <c r="A6" s="2" t="s">
        <v>2260</v>
      </c>
      <c r="B6" s="2">
        <v>50</v>
      </c>
    </row>
    <row r="7" spans="1:2" x14ac:dyDescent="0.25">
      <c r="A7" s="2" t="s">
        <v>2261</v>
      </c>
      <c r="B7" s="2">
        <v>9.5973205459464737</v>
      </c>
    </row>
    <row r="8" spans="1:2" x14ac:dyDescent="0.25">
      <c r="A8" s="2" t="s">
        <v>2262</v>
      </c>
      <c r="B8" s="2">
        <v>92.10856166164632</v>
      </c>
    </row>
    <row r="9" spans="1:2" x14ac:dyDescent="0.25">
      <c r="A9" s="2" t="s">
        <v>2263</v>
      </c>
      <c r="B9" s="2">
        <v>1.9864403643032009</v>
      </c>
    </row>
    <row r="10" spans="1:2" x14ac:dyDescent="0.25">
      <c r="A10" s="2" t="s">
        <v>2264</v>
      </c>
      <c r="B10" s="2">
        <v>0.78244905659874353</v>
      </c>
    </row>
    <row r="11" spans="1:2" x14ac:dyDescent="0.25">
      <c r="A11" s="2" t="s">
        <v>2265</v>
      </c>
      <c r="B11" s="2">
        <v>80</v>
      </c>
    </row>
    <row r="12" spans="1:2" x14ac:dyDescent="0.25">
      <c r="A12" s="2" t="s">
        <v>2266</v>
      </c>
      <c r="B12" s="2">
        <v>12</v>
      </c>
    </row>
    <row r="13" spans="1:2" x14ac:dyDescent="0.25">
      <c r="A13" s="2" t="s">
        <v>2267</v>
      </c>
      <c r="B13" s="2">
        <v>92</v>
      </c>
    </row>
    <row r="14" spans="1:2" x14ac:dyDescent="0.25">
      <c r="A14" s="2" t="s">
        <v>2268</v>
      </c>
      <c r="B14" s="2">
        <v>48340.700000000004</v>
      </c>
    </row>
    <row r="15" spans="1:2" ht="15.75" thickBot="1" x14ac:dyDescent="0.3">
      <c r="A15" s="3" t="s">
        <v>2269</v>
      </c>
      <c r="B15" s="3">
        <v>1027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573F6-ED5D-4990-8343-FD60FBFE53D5}">
  <dimension ref="A3:B7"/>
  <sheetViews>
    <sheetView workbookViewId="0">
      <selection activeCell="W18" sqref="W18"/>
    </sheetView>
  </sheetViews>
  <sheetFormatPr defaultRowHeight="15" x14ac:dyDescent="0.25"/>
  <cols>
    <col min="1" max="1" width="13.42578125" bestFit="1" customWidth="1"/>
    <col min="2" max="2" width="19.85546875" bestFit="1" customWidth="1"/>
  </cols>
  <sheetData>
    <row r="3" spans="1:2" x14ac:dyDescent="0.25">
      <c r="A3" s="6" t="s">
        <v>2272</v>
      </c>
      <c r="B3" t="s">
        <v>2277</v>
      </c>
    </row>
    <row r="4" spans="1:2" x14ac:dyDescent="0.25">
      <c r="A4" s="7" t="s">
        <v>18</v>
      </c>
      <c r="B4" s="1">
        <v>62</v>
      </c>
    </row>
    <row r="5" spans="1:2" x14ac:dyDescent="0.25">
      <c r="A5" s="7" t="s">
        <v>44</v>
      </c>
      <c r="B5" s="1">
        <v>214</v>
      </c>
    </row>
    <row r="6" spans="1:2" x14ac:dyDescent="0.25">
      <c r="A6" s="7" t="s">
        <v>25</v>
      </c>
      <c r="B6" s="1">
        <v>743</v>
      </c>
    </row>
    <row r="7" spans="1:2" x14ac:dyDescent="0.25">
      <c r="A7" s="7" t="s">
        <v>2273</v>
      </c>
      <c r="B7" s="1">
        <v>1019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7D31-F166-4548-B866-0577F7E32800}">
  <dimension ref="A3:B7"/>
  <sheetViews>
    <sheetView workbookViewId="0">
      <selection activeCell="B5" sqref="B5"/>
    </sheetView>
  </sheetViews>
  <sheetFormatPr defaultRowHeight="15" x14ac:dyDescent="0.25"/>
  <cols>
    <col min="1" max="1" width="15.85546875" bestFit="1" customWidth="1"/>
    <col min="2" max="2" width="24.42578125" bestFit="1" customWidth="1"/>
  </cols>
  <sheetData>
    <row r="3" spans="1:2" x14ac:dyDescent="0.25">
      <c r="A3" s="6" t="s">
        <v>2272</v>
      </c>
      <c r="B3" t="s">
        <v>2278</v>
      </c>
    </row>
    <row r="4" spans="1:2" x14ac:dyDescent="0.25">
      <c r="A4" s="7" t="s">
        <v>2274</v>
      </c>
      <c r="B4" s="1">
        <v>65</v>
      </c>
    </row>
    <row r="5" spans="1:2" x14ac:dyDescent="0.25">
      <c r="A5" s="7" t="s">
        <v>2275</v>
      </c>
      <c r="B5" s="1">
        <v>115</v>
      </c>
    </row>
    <row r="6" spans="1:2" x14ac:dyDescent="0.25">
      <c r="A6" s="7" t="s">
        <v>2290</v>
      </c>
      <c r="B6" s="1">
        <v>796</v>
      </c>
    </row>
    <row r="7" spans="1:2" x14ac:dyDescent="0.25">
      <c r="A7" s="7" t="s">
        <v>2273</v>
      </c>
      <c r="B7" s="1">
        <v>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76ECD-1B45-4825-9F7B-7BBEC1B8ECE0}">
  <dimension ref="A3:C20"/>
  <sheetViews>
    <sheetView workbookViewId="0">
      <selection activeCell="C8" sqref="C8"/>
    </sheetView>
  </sheetViews>
  <sheetFormatPr defaultRowHeight="15" x14ac:dyDescent="0.25"/>
  <cols>
    <col min="1" max="1" width="20" bestFit="1" customWidth="1"/>
    <col min="2" max="2" width="18.140625" bestFit="1" customWidth="1"/>
    <col min="3" max="3" width="26.42578125" bestFit="1" customWidth="1"/>
  </cols>
  <sheetData>
    <row r="3" spans="1:3" x14ac:dyDescent="0.25">
      <c r="A3" s="6" t="s">
        <v>12</v>
      </c>
      <c r="B3" s="6" t="s">
        <v>7</v>
      </c>
      <c r="C3" t="s">
        <v>2279</v>
      </c>
    </row>
    <row r="4" spans="1:3" x14ac:dyDescent="0.25">
      <c r="A4" t="s">
        <v>60</v>
      </c>
      <c r="C4" s="8">
        <v>38.857142857142854</v>
      </c>
    </row>
    <row r="5" spans="1:3" x14ac:dyDescent="0.25">
      <c r="B5" t="s">
        <v>17</v>
      </c>
      <c r="C5" s="8">
        <v>38.532994923857871</v>
      </c>
    </row>
    <row r="6" spans="1:3" x14ac:dyDescent="0.25">
      <c r="B6" t="s">
        <v>40</v>
      </c>
      <c r="C6" s="8">
        <v>47.951111111111111</v>
      </c>
    </row>
    <row r="7" spans="1:3" x14ac:dyDescent="0.25">
      <c r="B7" t="s">
        <v>64</v>
      </c>
      <c r="C7" s="8">
        <v>33.114444444444445</v>
      </c>
    </row>
    <row r="8" spans="1:3" x14ac:dyDescent="0.25">
      <c r="B8" t="s">
        <v>24</v>
      </c>
      <c r="C8" s="8">
        <v>42.481481481481481</v>
      </c>
    </row>
    <row r="9" spans="1:3" x14ac:dyDescent="0.25">
      <c r="B9" t="s">
        <v>43</v>
      </c>
      <c r="C9" s="8">
        <v>46.714285714285715</v>
      </c>
    </row>
    <row r="10" spans="1:3" x14ac:dyDescent="0.25">
      <c r="B10" t="s">
        <v>35</v>
      </c>
      <c r="C10" s="8">
        <v>40</v>
      </c>
    </row>
    <row r="11" spans="1:3" x14ac:dyDescent="0.25">
      <c r="A11" t="s">
        <v>2280</v>
      </c>
      <c r="C11" s="8">
        <v>40.579944134078211</v>
      </c>
    </row>
    <row r="12" spans="1:3" x14ac:dyDescent="0.25">
      <c r="A12" t="s">
        <v>22</v>
      </c>
      <c r="C12" s="8">
        <v>44.362499999999997</v>
      </c>
    </row>
    <row r="13" spans="1:3" x14ac:dyDescent="0.25">
      <c r="B13" t="s">
        <v>17</v>
      </c>
      <c r="C13" s="8">
        <v>43.598026315789468</v>
      </c>
    </row>
    <row r="14" spans="1:3" x14ac:dyDescent="0.25">
      <c r="B14" t="s">
        <v>40</v>
      </c>
      <c r="C14" s="8">
        <v>61.028363636363636</v>
      </c>
    </row>
    <row r="15" spans="1:3" x14ac:dyDescent="0.25">
      <c r="B15" t="s">
        <v>64</v>
      </c>
      <c r="C15" s="8">
        <v>36.542857142857144</v>
      </c>
    </row>
    <row r="16" spans="1:3" x14ac:dyDescent="0.25">
      <c r="B16" t="s">
        <v>24</v>
      </c>
      <c r="C16" s="8">
        <v>48.389364161849713</v>
      </c>
    </row>
    <row r="17" spans="1:3" x14ac:dyDescent="0.25">
      <c r="B17" t="s">
        <v>43</v>
      </c>
      <c r="C17" s="8">
        <v>53.474705882352943</v>
      </c>
    </row>
    <row r="18" spans="1:3" x14ac:dyDescent="0.25">
      <c r="B18" t="s">
        <v>35</v>
      </c>
      <c r="C18" s="8">
        <v>45.153333333333329</v>
      </c>
    </row>
    <row r="19" spans="1:3" x14ac:dyDescent="0.25">
      <c r="A19" t="s">
        <v>2281</v>
      </c>
      <c r="C19" s="8">
        <v>50.466257309941518</v>
      </c>
    </row>
    <row r="20" spans="1:3" x14ac:dyDescent="0.25">
      <c r="A20" t="s">
        <v>2273</v>
      </c>
      <c r="C20" s="8">
        <v>47.069616122840699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DDE4-6E6E-4231-BB00-AC7B470D679A}">
  <dimension ref="A3:E14"/>
  <sheetViews>
    <sheetView workbookViewId="0">
      <selection activeCell="B5" sqref="B5"/>
    </sheetView>
  </sheetViews>
  <sheetFormatPr defaultRowHeight="15" x14ac:dyDescent="0.25"/>
  <cols>
    <col min="1" max="1" width="26.85546875" bestFit="1" customWidth="1"/>
    <col min="2" max="2" width="24.42578125" bestFit="1" customWidth="1"/>
    <col min="5" max="5" width="24.42578125" bestFit="1" customWidth="1"/>
  </cols>
  <sheetData>
    <row r="3" spans="1:5" x14ac:dyDescent="0.25">
      <c r="A3" s="6" t="s">
        <v>2289</v>
      </c>
      <c r="B3" t="s">
        <v>2278</v>
      </c>
    </row>
    <row r="4" spans="1:5" x14ac:dyDescent="0.25">
      <c r="A4" s="7" t="s">
        <v>2282</v>
      </c>
      <c r="B4" s="1">
        <v>13</v>
      </c>
      <c r="D4" s="7"/>
      <c r="E4" s="1"/>
    </row>
    <row r="5" spans="1:5" x14ac:dyDescent="0.25">
      <c r="A5" s="7" t="s">
        <v>2274</v>
      </c>
      <c r="B5" s="1">
        <v>65</v>
      </c>
      <c r="D5" s="7"/>
      <c r="E5" s="1"/>
    </row>
    <row r="6" spans="1:5" x14ac:dyDescent="0.25">
      <c r="A6" s="7" t="s">
        <v>2284</v>
      </c>
      <c r="B6" s="1">
        <v>27</v>
      </c>
      <c r="D6" s="7"/>
      <c r="E6" s="1"/>
    </row>
    <row r="7" spans="1:5" x14ac:dyDescent="0.25">
      <c r="A7" s="7" t="s">
        <v>2285</v>
      </c>
      <c r="B7" s="1">
        <v>2</v>
      </c>
      <c r="D7" s="7"/>
      <c r="E7" s="1"/>
    </row>
    <row r="8" spans="1:5" x14ac:dyDescent="0.25">
      <c r="A8" s="7" t="s">
        <v>2286</v>
      </c>
      <c r="B8" s="1">
        <v>10</v>
      </c>
      <c r="D8" s="7"/>
      <c r="E8" s="1"/>
    </row>
    <row r="9" spans="1:5" x14ac:dyDescent="0.25">
      <c r="A9" s="7" t="s">
        <v>2275</v>
      </c>
      <c r="B9" s="1">
        <v>115</v>
      </c>
      <c r="D9" s="7"/>
      <c r="E9" s="1"/>
    </row>
    <row r="10" spans="1:5" x14ac:dyDescent="0.25">
      <c r="A10" s="7" t="s">
        <v>2287</v>
      </c>
      <c r="B10" s="1">
        <v>2</v>
      </c>
      <c r="D10" s="7"/>
      <c r="E10" s="1"/>
    </row>
    <row r="11" spans="1:5" x14ac:dyDescent="0.25">
      <c r="A11" s="7" t="s">
        <v>2288</v>
      </c>
      <c r="B11" s="1">
        <v>1</v>
      </c>
      <c r="D11" s="7"/>
      <c r="E11" s="1"/>
    </row>
    <row r="12" spans="1:5" x14ac:dyDescent="0.25">
      <c r="A12" s="7" t="s">
        <v>2290</v>
      </c>
      <c r="B12" s="1">
        <v>796</v>
      </c>
      <c r="D12" s="7"/>
      <c r="E12" s="1"/>
    </row>
    <row r="13" spans="1:5" x14ac:dyDescent="0.25">
      <c r="A13" s="7" t="s">
        <v>2291</v>
      </c>
      <c r="B13" s="1">
        <v>11</v>
      </c>
      <c r="D13" s="7"/>
      <c r="E13" s="1"/>
    </row>
    <row r="14" spans="1:5" x14ac:dyDescent="0.25">
      <c r="A14" s="7" t="s">
        <v>2273</v>
      </c>
      <c r="B14" s="1">
        <v>1042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259E-7EB8-4B2C-B78A-8EE3AD8AEB56}">
  <dimension ref="A1:O1044"/>
  <sheetViews>
    <sheetView topLeftCell="A975" workbookViewId="0">
      <selection activeCell="C975" sqref="C975"/>
    </sheetView>
  </sheetViews>
  <sheetFormatPr defaultRowHeight="15" x14ac:dyDescent="0.25"/>
  <cols>
    <col min="1" max="1" width="12" bestFit="1" customWidth="1"/>
    <col min="2" max="2" width="24.5703125" bestFit="1" customWidth="1"/>
    <col min="3" max="3" width="24.5703125" customWidth="1"/>
    <col min="4" max="4" width="23" bestFit="1" customWidth="1"/>
    <col min="5" max="5" width="18.42578125" bestFit="1" customWidth="1"/>
    <col min="6" max="7" width="81.140625" bestFit="1" customWidth="1"/>
    <col min="8" max="8" width="10.140625" bestFit="1" customWidth="1"/>
    <col min="9" max="9" width="18.140625" bestFit="1" customWidth="1"/>
    <col min="10" max="10" width="17.85546875" bestFit="1" customWidth="1"/>
    <col min="11" max="11" width="23.140625" bestFit="1" customWidth="1"/>
    <col min="12" max="12" width="14" bestFit="1" customWidth="1"/>
    <col min="13" max="13" width="61" bestFit="1" customWidth="1"/>
    <col min="14" max="14" width="10.85546875" bestFit="1" customWidth="1"/>
    <col min="15" max="15" width="18.28515625" bestFit="1" customWidth="1"/>
  </cols>
  <sheetData>
    <row r="1" spans="1:15" x14ac:dyDescent="0.25">
      <c r="A1" t="s">
        <v>0</v>
      </c>
      <c r="B1" t="s">
        <v>1</v>
      </c>
      <c r="C1" t="s">
        <v>2256</v>
      </c>
      <c r="D1" t="s">
        <v>2</v>
      </c>
      <c r="E1" t="s">
        <v>3</v>
      </c>
      <c r="F1" t="s">
        <v>4</v>
      </c>
      <c r="G1" t="s">
        <v>5</v>
      </c>
      <c r="H1" t="s">
        <v>6</v>
      </c>
      <c r="I1" t="s">
        <v>7</v>
      </c>
      <c r="J1" t="s">
        <v>8</v>
      </c>
      <c r="K1" t="s">
        <v>9</v>
      </c>
      <c r="L1" t="s">
        <v>10</v>
      </c>
      <c r="M1" t="s">
        <v>11</v>
      </c>
      <c r="N1" t="s">
        <v>12</v>
      </c>
      <c r="O1" t="s">
        <v>2289</v>
      </c>
    </row>
    <row r="2" spans="1:15" x14ac:dyDescent="0.25">
      <c r="A2">
        <v>228</v>
      </c>
      <c r="B2" s="1" t="s">
        <v>13</v>
      </c>
      <c r="C2" s="1" t="str">
        <f t="shared" ref="C2:C65" si="0">IF(B2="NB","New Brunswick",IF(B2="AB","Alberta",IF(B2="BC","British Columbia",IF(B2="MB","Manitoba",IF(B2="NL","Newfoundland and Labrador",IF(B2="NS","Nova Scotia",IF(B2="ON","Ontario",IF(B2="PE","Prince Edward Island",IF(B2="QC","Quebec",IF(B2="SK","Saskatchewan",""))))))))))</f>
        <v>New Brunswick</v>
      </c>
      <c r="D2" s="1" t="s">
        <v>14</v>
      </c>
      <c r="E2" s="5">
        <v>47</v>
      </c>
      <c r="F2" s="1" t="s">
        <v>15</v>
      </c>
      <c r="G2" s="1" t="s">
        <v>16</v>
      </c>
      <c r="H2" t="s">
        <v>2270</v>
      </c>
      <c r="I2" s="1" t="s">
        <v>17</v>
      </c>
      <c r="J2" s="1" t="s">
        <v>18</v>
      </c>
      <c r="K2" s="1" t="s">
        <v>19</v>
      </c>
      <c r="L2" s="1" t="s">
        <v>20</v>
      </c>
      <c r="M2" s="1" t="s">
        <v>21</v>
      </c>
      <c r="N2" s="1" t="s">
        <v>22</v>
      </c>
      <c r="O2" s="1" t="s">
        <v>2284</v>
      </c>
    </row>
    <row r="3" spans="1:15" x14ac:dyDescent="0.25">
      <c r="A3">
        <v>242</v>
      </c>
      <c r="B3" s="1" t="s">
        <v>13</v>
      </c>
      <c r="C3" s="1" t="str">
        <f t="shared" si="0"/>
        <v>New Brunswick</v>
      </c>
      <c r="D3" s="1" t="s">
        <v>14</v>
      </c>
      <c r="E3" s="5">
        <v>47.9</v>
      </c>
      <c r="F3" s="1" t="s">
        <v>23</v>
      </c>
      <c r="G3" s="1" t="s">
        <v>16</v>
      </c>
      <c r="H3" t="s">
        <v>2270</v>
      </c>
      <c r="I3" s="1" t="s">
        <v>24</v>
      </c>
      <c r="J3" s="1" t="s">
        <v>25</v>
      </c>
      <c r="K3" s="1" t="s">
        <v>19</v>
      </c>
      <c r="L3" s="1" t="s">
        <v>20</v>
      </c>
      <c r="M3" s="1" t="s">
        <v>26</v>
      </c>
      <c r="N3" s="1" t="s">
        <v>22</v>
      </c>
      <c r="O3" s="1" t="s">
        <v>2284</v>
      </c>
    </row>
    <row r="4" spans="1:15" x14ac:dyDescent="0.25">
      <c r="A4">
        <v>301</v>
      </c>
      <c r="B4" s="1" t="s">
        <v>27</v>
      </c>
      <c r="C4" s="1" t="str">
        <f t="shared" si="0"/>
        <v>Ontario</v>
      </c>
      <c r="D4" s="1" t="s">
        <v>28</v>
      </c>
      <c r="E4" s="5">
        <v>54</v>
      </c>
      <c r="F4" s="1" t="s">
        <v>29</v>
      </c>
      <c r="G4" s="1" t="s">
        <v>30</v>
      </c>
      <c r="H4" t="s">
        <v>2270</v>
      </c>
      <c r="I4" s="1" t="s">
        <v>17</v>
      </c>
      <c r="J4" s="1" t="s">
        <v>25</v>
      </c>
      <c r="K4" s="1" t="s">
        <v>31</v>
      </c>
      <c r="L4" s="1" t="s">
        <v>32</v>
      </c>
      <c r="M4" s="1" t="s">
        <v>33</v>
      </c>
      <c r="N4" s="1" t="s">
        <v>22</v>
      </c>
      <c r="O4" s="1" t="s">
        <v>2275</v>
      </c>
    </row>
    <row r="5" spans="1:15" x14ac:dyDescent="0.25">
      <c r="A5">
        <v>303</v>
      </c>
      <c r="B5" s="1" t="s">
        <v>13</v>
      </c>
      <c r="C5" s="1" t="str">
        <f t="shared" si="0"/>
        <v>New Brunswick</v>
      </c>
      <c r="D5" s="1" t="s">
        <v>14</v>
      </c>
      <c r="E5" s="5">
        <v>47</v>
      </c>
      <c r="F5" s="1" t="s">
        <v>34</v>
      </c>
      <c r="G5" s="1" t="s">
        <v>32</v>
      </c>
      <c r="H5" t="s">
        <v>2270</v>
      </c>
      <c r="I5" s="1" t="s">
        <v>35</v>
      </c>
      <c r="J5" s="1" t="s">
        <v>25</v>
      </c>
      <c r="K5" s="1" t="s">
        <v>19</v>
      </c>
      <c r="L5" s="1" t="s">
        <v>32</v>
      </c>
      <c r="M5" s="1" t="s">
        <v>36</v>
      </c>
      <c r="N5" s="1" t="s">
        <v>22</v>
      </c>
      <c r="O5" s="1" t="s">
        <v>2284</v>
      </c>
    </row>
    <row r="6" spans="1:15" x14ac:dyDescent="0.25">
      <c r="A6">
        <v>319</v>
      </c>
      <c r="B6" s="1" t="s">
        <v>13</v>
      </c>
      <c r="C6" s="1" t="str">
        <f t="shared" si="0"/>
        <v>New Brunswick</v>
      </c>
      <c r="D6" s="1" t="s">
        <v>14</v>
      </c>
      <c r="E6" s="5">
        <v>49.4</v>
      </c>
      <c r="F6" s="1" t="s">
        <v>37</v>
      </c>
      <c r="G6" s="1" t="s">
        <v>32</v>
      </c>
      <c r="H6" t="s">
        <v>2271</v>
      </c>
      <c r="I6" s="1" t="s">
        <v>24</v>
      </c>
      <c r="J6" s="1" t="s">
        <v>25</v>
      </c>
      <c r="K6" s="1" t="s">
        <v>19</v>
      </c>
      <c r="L6" s="1" t="s">
        <v>20</v>
      </c>
      <c r="M6" s="1" t="s">
        <v>38</v>
      </c>
      <c r="N6" s="1" t="s">
        <v>22</v>
      </c>
      <c r="O6" s="1" t="s">
        <v>2284</v>
      </c>
    </row>
    <row r="7" spans="1:15" x14ac:dyDescent="0.25">
      <c r="A7">
        <v>350</v>
      </c>
      <c r="B7" s="1" t="s">
        <v>13</v>
      </c>
      <c r="C7" s="1" t="str">
        <f t="shared" si="0"/>
        <v>New Brunswick</v>
      </c>
      <c r="D7" s="1" t="s">
        <v>28</v>
      </c>
      <c r="E7" s="5">
        <v>48</v>
      </c>
      <c r="F7" s="1" t="s">
        <v>32</v>
      </c>
      <c r="G7" s="1" t="s">
        <v>39</v>
      </c>
      <c r="H7" t="s">
        <v>2270</v>
      </c>
      <c r="I7" s="1" t="s">
        <v>40</v>
      </c>
      <c r="J7" s="1" t="s">
        <v>25</v>
      </c>
      <c r="K7" s="1" t="s">
        <v>31</v>
      </c>
      <c r="L7" s="1" t="s">
        <v>32</v>
      </c>
      <c r="M7" s="1" t="s">
        <v>41</v>
      </c>
      <c r="N7" s="1" t="s">
        <v>22</v>
      </c>
      <c r="O7" s="1" t="s">
        <v>2284</v>
      </c>
    </row>
    <row r="8" spans="1:15" x14ac:dyDescent="0.25">
      <c r="A8">
        <v>374</v>
      </c>
      <c r="B8" s="1" t="s">
        <v>27</v>
      </c>
      <c r="C8" s="1" t="str">
        <f t="shared" si="0"/>
        <v>Ontario</v>
      </c>
      <c r="D8" s="1" t="s">
        <v>28</v>
      </c>
      <c r="E8" s="5">
        <v>52</v>
      </c>
      <c r="F8" s="1" t="s">
        <v>42</v>
      </c>
      <c r="G8" s="1" t="s">
        <v>32</v>
      </c>
      <c r="H8" t="s">
        <v>2270</v>
      </c>
      <c r="I8" s="1" t="s">
        <v>43</v>
      </c>
      <c r="J8" s="1" t="s">
        <v>44</v>
      </c>
      <c r="K8" s="1" t="s">
        <v>31</v>
      </c>
      <c r="L8" s="1" t="s">
        <v>45</v>
      </c>
      <c r="M8" s="1" t="s">
        <v>46</v>
      </c>
      <c r="N8" s="1" t="s">
        <v>22</v>
      </c>
      <c r="O8" s="1" t="s">
        <v>2275</v>
      </c>
    </row>
    <row r="9" spans="1:15" x14ac:dyDescent="0.25">
      <c r="A9">
        <v>375</v>
      </c>
      <c r="B9" s="1" t="s">
        <v>27</v>
      </c>
      <c r="C9" s="1" t="str">
        <f t="shared" si="0"/>
        <v>Ontario</v>
      </c>
      <c r="D9" s="1" t="s">
        <v>28</v>
      </c>
      <c r="E9" s="5">
        <v>41</v>
      </c>
      <c r="F9" s="1" t="s">
        <v>47</v>
      </c>
      <c r="G9" s="1" t="s">
        <v>48</v>
      </c>
      <c r="H9" t="s">
        <v>2270</v>
      </c>
      <c r="I9" s="1" t="s">
        <v>17</v>
      </c>
      <c r="J9" s="1" t="s">
        <v>44</v>
      </c>
      <c r="K9" s="1" t="s">
        <v>31</v>
      </c>
      <c r="L9" s="1" t="s">
        <v>32</v>
      </c>
      <c r="M9" s="1" t="s">
        <v>49</v>
      </c>
      <c r="N9" s="1" t="s">
        <v>22</v>
      </c>
      <c r="O9" s="1" t="s">
        <v>2275</v>
      </c>
    </row>
    <row r="10" spans="1:15" x14ac:dyDescent="0.25">
      <c r="A10">
        <v>376</v>
      </c>
      <c r="B10" s="1" t="s">
        <v>27</v>
      </c>
      <c r="C10" s="1" t="str">
        <f t="shared" si="0"/>
        <v>Ontario</v>
      </c>
      <c r="D10" s="1" t="s">
        <v>28</v>
      </c>
      <c r="E10" s="5">
        <v>50</v>
      </c>
      <c r="F10" s="1" t="s">
        <v>47</v>
      </c>
      <c r="G10" s="1" t="s">
        <v>32</v>
      </c>
      <c r="H10" t="s">
        <v>2270</v>
      </c>
      <c r="I10" s="1" t="s">
        <v>24</v>
      </c>
      <c r="J10" s="1" t="s">
        <v>44</v>
      </c>
      <c r="K10" s="1" t="s">
        <v>31</v>
      </c>
      <c r="L10" s="1" t="s">
        <v>32</v>
      </c>
      <c r="M10" s="1" t="s">
        <v>50</v>
      </c>
      <c r="N10" s="1" t="s">
        <v>22</v>
      </c>
      <c r="O10" s="1" t="s">
        <v>2275</v>
      </c>
    </row>
    <row r="11" spans="1:15" x14ac:dyDescent="0.25">
      <c r="A11">
        <v>378</v>
      </c>
      <c r="B11" s="1" t="s">
        <v>27</v>
      </c>
      <c r="C11" s="1" t="str">
        <f t="shared" si="0"/>
        <v>Ontario</v>
      </c>
      <c r="D11" s="1" t="s">
        <v>28</v>
      </c>
      <c r="E11" s="5">
        <v>55</v>
      </c>
      <c r="F11" s="1" t="s">
        <v>51</v>
      </c>
      <c r="G11" s="1" t="s">
        <v>52</v>
      </c>
      <c r="H11" t="s">
        <v>2270</v>
      </c>
      <c r="I11" s="1" t="s">
        <v>43</v>
      </c>
      <c r="J11" s="1" t="s">
        <v>44</v>
      </c>
      <c r="K11" s="1" t="s">
        <v>31</v>
      </c>
      <c r="L11" s="1" t="s">
        <v>32</v>
      </c>
      <c r="M11" s="1" t="s">
        <v>53</v>
      </c>
      <c r="N11" s="1" t="s">
        <v>22</v>
      </c>
      <c r="O11" s="1" t="s">
        <v>2275</v>
      </c>
    </row>
    <row r="12" spans="1:15" x14ac:dyDescent="0.25">
      <c r="A12">
        <v>379</v>
      </c>
      <c r="B12" s="1" t="s">
        <v>27</v>
      </c>
      <c r="C12" s="1" t="str">
        <f t="shared" si="0"/>
        <v>Ontario</v>
      </c>
      <c r="D12" s="1" t="s">
        <v>28</v>
      </c>
      <c r="E12" s="5">
        <v>57</v>
      </c>
      <c r="F12" s="1" t="s">
        <v>54</v>
      </c>
      <c r="G12" s="1" t="s">
        <v>55</v>
      </c>
      <c r="H12" t="s">
        <v>2270</v>
      </c>
      <c r="I12" s="1" t="s">
        <v>40</v>
      </c>
      <c r="J12" s="1" t="s">
        <v>44</v>
      </c>
      <c r="K12" s="1" t="s">
        <v>31</v>
      </c>
      <c r="L12" s="1" t="s">
        <v>32</v>
      </c>
      <c r="M12" s="1" t="s">
        <v>56</v>
      </c>
      <c r="N12" s="1" t="s">
        <v>22</v>
      </c>
      <c r="O12" s="1" t="s">
        <v>2275</v>
      </c>
    </row>
    <row r="13" spans="1:15" x14ac:dyDescent="0.25">
      <c r="A13">
        <v>414</v>
      </c>
      <c r="B13" s="1" t="s">
        <v>57</v>
      </c>
      <c r="C13" s="1" t="str">
        <f t="shared" si="0"/>
        <v>British Columbia</v>
      </c>
      <c r="D13" s="1" t="s">
        <v>14</v>
      </c>
      <c r="E13" s="5">
        <v>34</v>
      </c>
      <c r="F13" s="1" t="s">
        <v>32</v>
      </c>
      <c r="G13" s="1" t="s">
        <v>58</v>
      </c>
      <c r="H13" t="s">
        <v>2271</v>
      </c>
      <c r="I13" s="1" t="s">
        <v>24</v>
      </c>
      <c r="J13" s="1" t="s">
        <v>25</v>
      </c>
      <c r="K13" s="1" t="s">
        <v>19</v>
      </c>
      <c r="L13" s="1" t="s">
        <v>32</v>
      </c>
      <c r="M13" s="1" t="s">
        <v>59</v>
      </c>
      <c r="N13" s="1" t="s">
        <v>60</v>
      </c>
      <c r="O13" s="1" t="s">
        <v>2274</v>
      </c>
    </row>
    <row r="14" spans="1:15" x14ac:dyDescent="0.25">
      <c r="A14">
        <v>415</v>
      </c>
      <c r="B14" s="1" t="s">
        <v>57</v>
      </c>
      <c r="C14" s="1" t="str">
        <f t="shared" si="0"/>
        <v>British Columbia</v>
      </c>
      <c r="D14" s="1" t="s">
        <v>14</v>
      </c>
      <c r="E14" s="5">
        <v>34</v>
      </c>
      <c r="F14" s="1" t="s">
        <v>32</v>
      </c>
      <c r="G14" s="1" t="s">
        <v>61</v>
      </c>
      <c r="H14" t="s">
        <v>2271</v>
      </c>
      <c r="I14" s="1" t="s">
        <v>24</v>
      </c>
      <c r="J14" s="1" t="s">
        <v>25</v>
      </c>
      <c r="K14" s="1" t="s">
        <v>19</v>
      </c>
      <c r="L14" s="1" t="s">
        <v>32</v>
      </c>
      <c r="M14" s="1" t="s">
        <v>62</v>
      </c>
      <c r="N14" s="1" t="s">
        <v>60</v>
      </c>
      <c r="O14" s="1" t="s">
        <v>2274</v>
      </c>
    </row>
    <row r="15" spans="1:15" x14ac:dyDescent="0.25">
      <c r="A15">
        <v>416</v>
      </c>
      <c r="B15" s="1" t="s">
        <v>57</v>
      </c>
      <c r="C15" s="1" t="str">
        <f t="shared" si="0"/>
        <v>British Columbia</v>
      </c>
      <c r="D15" s="1" t="s">
        <v>14</v>
      </c>
      <c r="E15" s="5">
        <v>33</v>
      </c>
      <c r="F15" s="1" t="s">
        <v>32</v>
      </c>
      <c r="G15" s="1" t="s">
        <v>63</v>
      </c>
      <c r="H15" t="s">
        <v>2271</v>
      </c>
      <c r="I15" s="1" t="s">
        <v>64</v>
      </c>
      <c r="J15" s="1" t="s">
        <v>25</v>
      </c>
      <c r="K15" s="1" t="s">
        <v>19</v>
      </c>
      <c r="L15" s="1" t="s">
        <v>32</v>
      </c>
      <c r="M15" s="1" t="s">
        <v>65</v>
      </c>
      <c r="N15" s="1" t="s">
        <v>60</v>
      </c>
      <c r="O15" s="1" t="s">
        <v>2274</v>
      </c>
    </row>
    <row r="16" spans="1:15" x14ac:dyDescent="0.25">
      <c r="A16">
        <v>417</v>
      </c>
      <c r="B16" s="1" t="s">
        <v>57</v>
      </c>
      <c r="C16" s="1" t="str">
        <f t="shared" si="0"/>
        <v>British Columbia</v>
      </c>
      <c r="D16" s="1" t="s">
        <v>14</v>
      </c>
      <c r="E16" s="5">
        <v>43</v>
      </c>
      <c r="F16" s="1" t="s">
        <v>66</v>
      </c>
      <c r="G16" s="1" t="s">
        <v>67</v>
      </c>
      <c r="H16" t="s">
        <v>2271</v>
      </c>
      <c r="I16" s="1" t="s">
        <v>43</v>
      </c>
      <c r="J16" s="1" t="s">
        <v>25</v>
      </c>
      <c r="K16" s="1" t="s">
        <v>19</v>
      </c>
      <c r="L16" s="1" t="s">
        <v>32</v>
      </c>
      <c r="M16" s="1" t="s">
        <v>68</v>
      </c>
      <c r="N16" s="1" t="s">
        <v>60</v>
      </c>
      <c r="O16" s="1" t="s">
        <v>2274</v>
      </c>
    </row>
    <row r="17" spans="1:15" x14ac:dyDescent="0.25">
      <c r="A17">
        <v>418</v>
      </c>
      <c r="B17" s="1" t="s">
        <v>57</v>
      </c>
      <c r="C17" s="1" t="str">
        <f t="shared" si="0"/>
        <v>British Columbia</v>
      </c>
      <c r="D17" s="1" t="s">
        <v>14</v>
      </c>
      <c r="E17" s="5">
        <v>34</v>
      </c>
      <c r="F17" s="1" t="s">
        <v>69</v>
      </c>
      <c r="G17" s="1" t="s">
        <v>6</v>
      </c>
      <c r="H17" t="s">
        <v>2271</v>
      </c>
      <c r="I17" s="1" t="s">
        <v>24</v>
      </c>
      <c r="J17" s="1" t="s">
        <v>44</v>
      </c>
      <c r="K17" s="1" t="s">
        <v>19</v>
      </c>
      <c r="L17" s="1" t="s">
        <v>32</v>
      </c>
      <c r="M17" s="1" t="s">
        <v>70</v>
      </c>
      <c r="N17" s="1" t="s">
        <v>60</v>
      </c>
      <c r="O17" s="1" t="s">
        <v>2274</v>
      </c>
    </row>
    <row r="18" spans="1:15" x14ac:dyDescent="0.25">
      <c r="A18">
        <v>419</v>
      </c>
      <c r="B18" s="1" t="s">
        <v>57</v>
      </c>
      <c r="C18" s="1" t="str">
        <f t="shared" si="0"/>
        <v>British Columbia</v>
      </c>
      <c r="D18" s="1" t="s">
        <v>14</v>
      </c>
      <c r="E18" s="5">
        <v>43</v>
      </c>
      <c r="F18" s="1" t="s">
        <v>71</v>
      </c>
      <c r="G18" s="1" t="s">
        <v>6</v>
      </c>
      <c r="H18" t="s">
        <v>2271</v>
      </c>
      <c r="I18" s="1" t="s">
        <v>43</v>
      </c>
      <c r="J18" s="1" t="s">
        <v>44</v>
      </c>
      <c r="K18" s="1" t="s">
        <v>19</v>
      </c>
      <c r="L18" s="1" t="s">
        <v>32</v>
      </c>
      <c r="M18" s="1" t="s">
        <v>72</v>
      </c>
      <c r="N18" s="1" t="s">
        <v>60</v>
      </c>
      <c r="O18" s="1" t="s">
        <v>2274</v>
      </c>
    </row>
    <row r="19" spans="1:15" x14ac:dyDescent="0.25">
      <c r="A19">
        <v>629</v>
      </c>
      <c r="B19" s="1" t="s">
        <v>57</v>
      </c>
      <c r="C19" s="1" t="str">
        <f t="shared" si="0"/>
        <v>British Columbia</v>
      </c>
      <c r="D19" s="1" t="s">
        <v>73</v>
      </c>
      <c r="E19" s="5">
        <v>41</v>
      </c>
      <c r="F19" s="1" t="s">
        <v>74</v>
      </c>
      <c r="G19" s="1" t="s">
        <v>75</v>
      </c>
      <c r="H19" t="s">
        <v>2270</v>
      </c>
      <c r="I19" s="1" t="s">
        <v>17</v>
      </c>
      <c r="J19" s="1" t="s">
        <v>25</v>
      </c>
      <c r="K19" s="1" t="s">
        <v>31</v>
      </c>
      <c r="L19" s="1" t="s">
        <v>32</v>
      </c>
      <c r="M19" s="1" t="s">
        <v>76</v>
      </c>
      <c r="N19" s="1" t="s">
        <v>60</v>
      </c>
      <c r="O19" s="1" t="s">
        <v>2274</v>
      </c>
    </row>
    <row r="20" spans="1:15" x14ac:dyDescent="0.25">
      <c r="A20">
        <v>630</v>
      </c>
      <c r="B20" s="1" t="s">
        <v>57</v>
      </c>
      <c r="C20" s="1" t="str">
        <f t="shared" si="0"/>
        <v>British Columbia</v>
      </c>
      <c r="D20" s="1" t="s">
        <v>73</v>
      </c>
      <c r="E20" s="5">
        <v>41</v>
      </c>
      <c r="F20" s="1" t="s">
        <v>77</v>
      </c>
      <c r="G20" s="1" t="s">
        <v>32</v>
      </c>
      <c r="H20" t="s">
        <v>2270</v>
      </c>
      <c r="I20" s="1" t="s">
        <v>17</v>
      </c>
      <c r="J20" s="1" t="s">
        <v>25</v>
      </c>
      <c r="K20" s="1" t="s">
        <v>31</v>
      </c>
      <c r="L20" s="1" t="s">
        <v>32</v>
      </c>
      <c r="M20" s="1" t="s">
        <v>78</v>
      </c>
      <c r="N20" s="1" t="s">
        <v>60</v>
      </c>
      <c r="O20" s="1" t="s">
        <v>2274</v>
      </c>
    </row>
    <row r="21" spans="1:15" x14ac:dyDescent="0.25">
      <c r="A21">
        <v>631</v>
      </c>
      <c r="B21" s="1" t="s">
        <v>57</v>
      </c>
      <c r="C21" s="1" t="str">
        <f t="shared" si="0"/>
        <v>British Columbia</v>
      </c>
      <c r="D21" s="1" t="s">
        <v>73</v>
      </c>
      <c r="E21" s="5">
        <v>41</v>
      </c>
      <c r="F21" s="1" t="s">
        <v>79</v>
      </c>
      <c r="G21" s="1" t="s">
        <v>32</v>
      </c>
      <c r="H21" t="s">
        <v>2270</v>
      </c>
      <c r="I21" s="1" t="s">
        <v>17</v>
      </c>
      <c r="J21" s="1" t="s">
        <v>25</v>
      </c>
      <c r="K21" s="1" t="s">
        <v>31</v>
      </c>
      <c r="L21" s="1" t="s">
        <v>32</v>
      </c>
      <c r="M21" s="1" t="s">
        <v>80</v>
      </c>
      <c r="N21" s="1" t="s">
        <v>60</v>
      </c>
      <c r="O21" s="1" t="s">
        <v>2274</v>
      </c>
    </row>
    <row r="22" spans="1:15" x14ac:dyDescent="0.25">
      <c r="A22">
        <v>632</v>
      </c>
      <c r="B22" s="1" t="s">
        <v>57</v>
      </c>
      <c r="C22" s="1" t="str">
        <f t="shared" si="0"/>
        <v>British Columbia</v>
      </c>
      <c r="D22" s="1" t="s">
        <v>73</v>
      </c>
      <c r="E22" s="5">
        <v>41</v>
      </c>
      <c r="F22" s="1" t="s">
        <v>81</v>
      </c>
      <c r="G22" s="1" t="s">
        <v>32</v>
      </c>
      <c r="H22" t="s">
        <v>2270</v>
      </c>
      <c r="I22" s="1" t="s">
        <v>17</v>
      </c>
      <c r="J22" s="1" t="s">
        <v>25</v>
      </c>
      <c r="K22" s="1" t="s">
        <v>31</v>
      </c>
      <c r="L22" s="1" t="s">
        <v>32</v>
      </c>
      <c r="M22" s="1" t="s">
        <v>82</v>
      </c>
      <c r="N22" s="1" t="s">
        <v>60</v>
      </c>
      <c r="O22" s="1" t="s">
        <v>2274</v>
      </c>
    </row>
    <row r="23" spans="1:15" x14ac:dyDescent="0.25">
      <c r="A23">
        <v>648</v>
      </c>
      <c r="B23" s="1" t="s">
        <v>57</v>
      </c>
      <c r="C23" s="1" t="str">
        <f t="shared" si="0"/>
        <v>British Columbia</v>
      </c>
      <c r="D23" s="1" t="s">
        <v>73</v>
      </c>
      <c r="E23" s="5">
        <v>48</v>
      </c>
      <c r="F23" s="1" t="s">
        <v>83</v>
      </c>
      <c r="G23" s="1" t="s">
        <v>84</v>
      </c>
      <c r="H23" t="s">
        <v>2270</v>
      </c>
      <c r="I23" s="1" t="s">
        <v>43</v>
      </c>
      <c r="J23" s="1" t="s">
        <v>25</v>
      </c>
      <c r="K23" s="1" t="s">
        <v>31</v>
      </c>
      <c r="L23" s="1" t="s">
        <v>32</v>
      </c>
      <c r="M23" s="1" t="s">
        <v>85</v>
      </c>
      <c r="N23" s="1" t="s">
        <v>22</v>
      </c>
      <c r="O23" s="1" t="s">
        <v>2274</v>
      </c>
    </row>
    <row r="24" spans="1:15" x14ac:dyDescent="0.25">
      <c r="A24">
        <v>655</v>
      </c>
      <c r="B24" s="1" t="s">
        <v>27</v>
      </c>
      <c r="C24" s="1" t="str">
        <f t="shared" si="0"/>
        <v>Ontario</v>
      </c>
      <c r="D24" s="1" t="s">
        <v>28</v>
      </c>
      <c r="E24" s="5">
        <v>45</v>
      </c>
      <c r="F24" s="1" t="s">
        <v>86</v>
      </c>
      <c r="G24" s="1" t="s">
        <v>87</v>
      </c>
      <c r="H24" t="s">
        <v>2270</v>
      </c>
      <c r="I24" s="1" t="s">
        <v>17</v>
      </c>
      <c r="J24" s="1" t="s">
        <v>25</v>
      </c>
      <c r="K24" s="1" t="s">
        <v>31</v>
      </c>
      <c r="L24" s="1" t="s">
        <v>32</v>
      </c>
      <c r="M24" s="1" t="s">
        <v>88</v>
      </c>
      <c r="N24" s="1" t="s">
        <v>22</v>
      </c>
      <c r="O24" s="1" t="s">
        <v>2275</v>
      </c>
    </row>
    <row r="25" spans="1:15" x14ac:dyDescent="0.25">
      <c r="A25">
        <v>656</v>
      </c>
      <c r="B25" s="1" t="s">
        <v>27</v>
      </c>
      <c r="C25" s="1" t="str">
        <f t="shared" si="0"/>
        <v>Ontario</v>
      </c>
      <c r="D25" s="1" t="s">
        <v>28</v>
      </c>
      <c r="E25" s="5">
        <v>80</v>
      </c>
      <c r="F25" s="1" t="s">
        <v>89</v>
      </c>
      <c r="G25" s="1" t="s">
        <v>90</v>
      </c>
      <c r="H25" t="s">
        <v>2270</v>
      </c>
      <c r="I25" s="1" t="s">
        <v>40</v>
      </c>
      <c r="J25" s="1" t="s">
        <v>25</v>
      </c>
      <c r="K25" s="1" t="s">
        <v>31</v>
      </c>
      <c r="L25" s="1" t="s">
        <v>91</v>
      </c>
      <c r="M25" s="1" t="s">
        <v>92</v>
      </c>
      <c r="N25" s="1" t="s">
        <v>22</v>
      </c>
      <c r="O25" s="1" t="s">
        <v>2275</v>
      </c>
    </row>
    <row r="26" spans="1:15" x14ac:dyDescent="0.25">
      <c r="A26">
        <v>657</v>
      </c>
      <c r="B26" s="1" t="s">
        <v>93</v>
      </c>
      <c r="C26" s="1" t="str">
        <f t="shared" si="0"/>
        <v>Alberta</v>
      </c>
      <c r="D26" s="1" t="s">
        <v>14</v>
      </c>
      <c r="E26" s="5">
        <v>43</v>
      </c>
      <c r="F26" s="1" t="s">
        <v>94</v>
      </c>
      <c r="G26" s="1" t="s">
        <v>95</v>
      </c>
      <c r="H26" t="s">
        <v>2270</v>
      </c>
      <c r="I26" s="1" t="s">
        <v>17</v>
      </c>
      <c r="J26" s="1" t="s">
        <v>25</v>
      </c>
      <c r="K26" s="1" t="s">
        <v>31</v>
      </c>
      <c r="L26" s="1" t="s">
        <v>32</v>
      </c>
      <c r="M26" s="1" t="s">
        <v>96</v>
      </c>
      <c r="N26" s="1" t="s">
        <v>22</v>
      </c>
      <c r="O26" s="1" t="s">
        <v>2282</v>
      </c>
    </row>
    <row r="27" spans="1:15" x14ac:dyDescent="0.25">
      <c r="A27">
        <v>658</v>
      </c>
      <c r="B27" s="1" t="s">
        <v>27</v>
      </c>
      <c r="C27" s="1" t="str">
        <f t="shared" si="0"/>
        <v>Ontario</v>
      </c>
      <c r="D27" s="1" t="s">
        <v>14</v>
      </c>
      <c r="E27" s="5">
        <v>39</v>
      </c>
      <c r="F27" s="1" t="s">
        <v>97</v>
      </c>
      <c r="G27" s="1" t="s">
        <v>98</v>
      </c>
      <c r="H27" t="s">
        <v>2270</v>
      </c>
      <c r="I27" s="1" t="s">
        <v>24</v>
      </c>
      <c r="J27" s="1" t="s">
        <v>25</v>
      </c>
      <c r="K27" s="1" t="s">
        <v>31</v>
      </c>
      <c r="L27" s="1" t="s">
        <v>20</v>
      </c>
      <c r="M27" s="1" t="s">
        <v>99</v>
      </c>
      <c r="N27" s="1" t="s">
        <v>60</v>
      </c>
      <c r="O27" s="1" t="s">
        <v>2275</v>
      </c>
    </row>
    <row r="28" spans="1:15" x14ac:dyDescent="0.25">
      <c r="A28">
        <v>662</v>
      </c>
      <c r="B28" s="1" t="s">
        <v>27</v>
      </c>
      <c r="C28" s="1" t="str">
        <f t="shared" si="0"/>
        <v>Ontario</v>
      </c>
      <c r="D28" s="1" t="s">
        <v>28</v>
      </c>
      <c r="E28" s="5">
        <v>39</v>
      </c>
      <c r="F28" s="1" t="s">
        <v>32</v>
      </c>
      <c r="G28" s="1" t="s">
        <v>32</v>
      </c>
      <c r="H28" t="s">
        <v>2270</v>
      </c>
      <c r="I28" s="1" t="s">
        <v>17</v>
      </c>
      <c r="J28" s="1" t="s">
        <v>25</v>
      </c>
      <c r="K28" s="1" t="s">
        <v>31</v>
      </c>
      <c r="L28" s="1" t="s">
        <v>91</v>
      </c>
      <c r="M28" s="1" t="s">
        <v>100</v>
      </c>
      <c r="N28" s="1" t="s">
        <v>60</v>
      </c>
      <c r="O28" s="1" t="s">
        <v>2275</v>
      </c>
    </row>
    <row r="29" spans="1:15" x14ac:dyDescent="0.25">
      <c r="A29">
        <v>663</v>
      </c>
      <c r="B29" s="1" t="s">
        <v>27</v>
      </c>
      <c r="C29" s="1" t="str">
        <f t="shared" si="0"/>
        <v>Ontario</v>
      </c>
      <c r="D29" s="1" t="s">
        <v>28</v>
      </c>
      <c r="E29" s="5">
        <v>39</v>
      </c>
      <c r="F29" s="1" t="s">
        <v>101</v>
      </c>
      <c r="G29" s="1" t="s">
        <v>102</v>
      </c>
      <c r="H29" t="s">
        <v>2270</v>
      </c>
      <c r="I29" s="1" t="s">
        <v>17</v>
      </c>
      <c r="J29" s="1" t="s">
        <v>25</v>
      </c>
      <c r="K29" s="1" t="s">
        <v>31</v>
      </c>
      <c r="L29" s="1" t="s">
        <v>32</v>
      </c>
      <c r="M29" s="1" t="s">
        <v>103</v>
      </c>
      <c r="N29" s="1" t="s">
        <v>60</v>
      </c>
      <c r="O29" s="1" t="s">
        <v>2275</v>
      </c>
    </row>
    <row r="30" spans="1:15" x14ac:dyDescent="0.25">
      <c r="A30">
        <v>664</v>
      </c>
      <c r="B30" s="1" t="s">
        <v>104</v>
      </c>
      <c r="C30" s="1" t="str">
        <f t="shared" si="0"/>
        <v>Nova Scotia</v>
      </c>
      <c r="D30" s="1" t="s">
        <v>14</v>
      </c>
      <c r="E30" s="5">
        <v>42</v>
      </c>
      <c r="F30" s="1" t="s">
        <v>105</v>
      </c>
      <c r="G30" s="1" t="s">
        <v>106</v>
      </c>
      <c r="H30" t="s">
        <v>2270</v>
      </c>
      <c r="I30" s="1" t="s">
        <v>17</v>
      </c>
      <c r="J30" s="1" t="s">
        <v>25</v>
      </c>
      <c r="K30" s="1" t="s">
        <v>107</v>
      </c>
      <c r="L30" s="1" t="s">
        <v>32</v>
      </c>
      <c r="M30" s="1" t="s">
        <v>108</v>
      </c>
      <c r="N30" s="1" t="s">
        <v>22</v>
      </c>
      <c r="O30" s="1" t="s">
        <v>2286</v>
      </c>
    </row>
    <row r="31" spans="1:15" x14ac:dyDescent="0.25">
      <c r="A31">
        <v>665</v>
      </c>
      <c r="B31" s="1" t="s">
        <v>104</v>
      </c>
      <c r="C31" s="1" t="str">
        <f t="shared" si="0"/>
        <v>Nova Scotia</v>
      </c>
      <c r="D31" s="1" t="s">
        <v>14</v>
      </c>
      <c r="E31" s="5">
        <v>42</v>
      </c>
      <c r="F31" s="1" t="s">
        <v>109</v>
      </c>
      <c r="G31" s="1" t="s">
        <v>110</v>
      </c>
      <c r="H31" t="s">
        <v>2270</v>
      </c>
      <c r="I31" s="1" t="s">
        <v>43</v>
      </c>
      <c r="J31" s="1" t="s">
        <v>25</v>
      </c>
      <c r="K31" s="1" t="s">
        <v>19</v>
      </c>
      <c r="L31" s="1" t="s">
        <v>32</v>
      </c>
      <c r="M31" s="1" t="s">
        <v>111</v>
      </c>
      <c r="N31" s="1" t="s">
        <v>22</v>
      </c>
      <c r="O31" s="1" t="s">
        <v>2286</v>
      </c>
    </row>
    <row r="32" spans="1:15" x14ac:dyDescent="0.25">
      <c r="A32">
        <v>667</v>
      </c>
      <c r="B32" s="1" t="s">
        <v>27</v>
      </c>
      <c r="C32" s="1" t="str">
        <f t="shared" si="0"/>
        <v>Ontario</v>
      </c>
      <c r="D32" s="1" t="s">
        <v>28</v>
      </c>
      <c r="E32" s="5">
        <v>55</v>
      </c>
      <c r="F32" s="1" t="s">
        <v>47</v>
      </c>
      <c r="G32" s="1" t="s">
        <v>32</v>
      </c>
      <c r="H32" t="s">
        <v>2270</v>
      </c>
      <c r="I32" s="1" t="s">
        <v>40</v>
      </c>
      <c r="J32" s="1" t="s">
        <v>25</v>
      </c>
      <c r="K32" s="1" t="s">
        <v>31</v>
      </c>
      <c r="L32" s="1" t="s">
        <v>91</v>
      </c>
      <c r="M32" s="1" t="s">
        <v>112</v>
      </c>
      <c r="N32" s="1" t="s">
        <v>22</v>
      </c>
      <c r="O32" s="1" t="s">
        <v>2275</v>
      </c>
    </row>
    <row r="33" spans="1:15" x14ac:dyDescent="0.25">
      <c r="A33">
        <v>721</v>
      </c>
      <c r="B33" s="1" t="s">
        <v>27</v>
      </c>
      <c r="C33" s="1" t="str">
        <f t="shared" si="0"/>
        <v>Ontario</v>
      </c>
      <c r="D33" s="1" t="s">
        <v>73</v>
      </c>
      <c r="E33" s="5">
        <v>60</v>
      </c>
      <c r="F33" s="1" t="s">
        <v>113</v>
      </c>
      <c r="G33" s="1" t="s">
        <v>114</v>
      </c>
      <c r="H33" t="s">
        <v>2270</v>
      </c>
      <c r="I33" s="1" t="s">
        <v>40</v>
      </c>
      <c r="J33" s="1" t="s">
        <v>18</v>
      </c>
      <c r="K33" s="1" t="s">
        <v>31</v>
      </c>
      <c r="L33" s="1" t="s">
        <v>91</v>
      </c>
      <c r="M33" s="1" t="s">
        <v>115</v>
      </c>
      <c r="N33" s="1" t="s">
        <v>22</v>
      </c>
      <c r="O33" s="1" t="s">
        <v>2275</v>
      </c>
    </row>
    <row r="34" spans="1:15" x14ac:dyDescent="0.25">
      <c r="A34">
        <v>722</v>
      </c>
      <c r="B34" s="1" t="s">
        <v>27</v>
      </c>
      <c r="C34" s="1" t="str">
        <f t="shared" si="0"/>
        <v>Ontario</v>
      </c>
      <c r="D34" s="1" t="s">
        <v>73</v>
      </c>
      <c r="E34" s="5">
        <v>42</v>
      </c>
      <c r="F34" s="1" t="s">
        <v>47</v>
      </c>
      <c r="G34" s="1" t="s">
        <v>116</v>
      </c>
      <c r="H34" t="s">
        <v>2270</v>
      </c>
      <c r="I34" s="1" t="s">
        <v>24</v>
      </c>
      <c r="J34" s="1" t="s">
        <v>18</v>
      </c>
      <c r="K34" s="1" t="s">
        <v>19</v>
      </c>
      <c r="L34" s="1" t="s">
        <v>32</v>
      </c>
      <c r="M34" s="1" t="s">
        <v>117</v>
      </c>
      <c r="N34" s="1" t="s">
        <v>60</v>
      </c>
      <c r="O34" s="1" t="s">
        <v>2275</v>
      </c>
    </row>
    <row r="35" spans="1:15" x14ac:dyDescent="0.25">
      <c r="A35">
        <v>723</v>
      </c>
      <c r="B35" s="1" t="s">
        <v>27</v>
      </c>
      <c r="C35" s="1" t="str">
        <f t="shared" si="0"/>
        <v>Ontario</v>
      </c>
      <c r="D35" s="1" t="s">
        <v>73</v>
      </c>
      <c r="E35" s="5">
        <v>55</v>
      </c>
      <c r="F35" s="1" t="s">
        <v>32</v>
      </c>
      <c r="G35" s="1" t="s">
        <v>118</v>
      </c>
      <c r="H35" t="s">
        <v>2270</v>
      </c>
      <c r="I35" s="1" t="s">
        <v>43</v>
      </c>
      <c r="J35" s="1" t="s">
        <v>18</v>
      </c>
      <c r="K35" s="1" t="s">
        <v>31</v>
      </c>
      <c r="L35" s="1" t="s">
        <v>45</v>
      </c>
      <c r="M35" s="1" t="s">
        <v>119</v>
      </c>
      <c r="N35" s="1" t="s">
        <v>22</v>
      </c>
      <c r="O35" s="1" t="s">
        <v>2275</v>
      </c>
    </row>
    <row r="36" spans="1:15" x14ac:dyDescent="0.25">
      <c r="A36">
        <v>724</v>
      </c>
      <c r="B36" s="1" t="s">
        <v>27</v>
      </c>
      <c r="C36" s="1" t="str">
        <f t="shared" si="0"/>
        <v>Ontario</v>
      </c>
      <c r="D36" s="1" t="s">
        <v>73</v>
      </c>
      <c r="E36" s="5">
        <v>47.06</v>
      </c>
      <c r="F36" s="1" t="s">
        <v>47</v>
      </c>
      <c r="G36" s="1" t="s">
        <v>114</v>
      </c>
      <c r="H36" t="s">
        <v>2270</v>
      </c>
      <c r="I36" s="1" t="s">
        <v>40</v>
      </c>
      <c r="J36" s="1" t="s">
        <v>18</v>
      </c>
      <c r="K36" s="1" t="s">
        <v>31</v>
      </c>
      <c r="L36" s="1" t="s">
        <v>32</v>
      </c>
      <c r="M36" s="1" t="s">
        <v>120</v>
      </c>
      <c r="N36" s="1" t="s">
        <v>22</v>
      </c>
      <c r="O36" s="1" t="s">
        <v>2275</v>
      </c>
    </row>
    <row r="37" spans="1:15" x14ac:dyDescent="0.25">
      <c r="A37">
        <v>728</v>
      </c>
      <c r="B37" s="1" t="s">
        <v>27</v>
      </c>
      <c r="C37" s="1" t="str">
        <f t="shared" si="0"/>
        <v>Ontario</v>
      </c>
      <c r="D37" s="1" t="s">
        <v>28</v>
      </c>
      <c r="E37" s="5">
        <v>34</v>
      </c>
      <c r="F37" s="1" t="s">
        <v>121</v>
      </c>
      <c r="G37" s="1" t="s">
        <v>122</v>
      </c>
      <c r="H37" t="s">
        <v>2270</v>
      </c>
      <c r="I37" s="1" t="s">
        <v>17</v>
      </c>
      <c r="J37" s="1" t="s">
        <v>25</v>
      </c>
      <c r="K37" s="1" t="s">
        <v>107</v>
      </c>
      <c r="L37" s="1" t="s">
        <v>91</v>
      </c>
      <c r="M37" s="1" t="s">
        <v>123</v>
      </c>
      <c r="N37" s="1" t="s">
        <v>60</v>
      </c>
      <c r="O37" s="1" t="s">
        <v>2275</v>
      </c>
    </row>
    <row r="38" spans="1:15" x14ac:dyDescent="0.25">
      <c r="A38">
        <v>730</v>
      </c>
      <c r="B38" s="1" t="s">
        <v>27</v>
      </c>
      <c r="C38" s="1" t="str">
        <f t="shared" si="0"/>
        <v>Ontario</v>
      </c>
      <c r="D38" s="1" t="s">
        <v>73</v>
      </c>
      <c r="E38" s="5">
        <v>47</v>
      </c>
      <c r="F38" s="1" t="s">
        <v>32</v>
      </c>
      <c r="G38" s="1" t="s">
        <v>32</v>
      </c>
      <c r="H38" t="s">
        <v>2270</v>
      </c>
      <c r="I38" s="1" t="s">
        <v>24</v>
      </c>
      <c r="J38" s="1" t="s">
        <v>18</v>
      </c>
      <c r="K38" s="1" t="s">
        <v>31</v>
      </c>
      <c r="L38" s="1" t="s">
        <v>32</v>
      </c>
      <c r="M38" s="1" t="s">
        <v>124</v>
      </c>
      <c r="N38" s="1" t="s">
        <v>60</v>
      </c>
      <c r="O38" s="1" t="s">
        <v>2275</v>
      </c>
    </row>
    <row r="39" spans="1:15" x14ac:dyDescent="0.25">
      <c r="A39">
        <v>731</v>
      </c>
      <c r="B39" s="1" t="s">
        <v>27</v>
      </c>
      <c r="C39" s="1" t="str">
        <f t="shared" si="0"/>
        <v>Ontario</v>
      </c>
      <c r="D39" s="1" t="s">
        <v>73</v>
      </c>
      <c r="E39" s="5">
        <v>48</v>
      </c>
      <c r="F39" s="1" t="s">
        <v>32</v>
      </c>
      <c r="G39" s="1" t="s">
        <v>32</v>
      </c>
      <c r="H39" t="s">
        <v>2270</v>
      </c>
      <c r="I39" s="1" t="s">
        <v>24</v>
      </c>
      <c r="J39" s="1" t="s">
        <v>18</v>
      </c>
      <c r="K39" s="1" t="s">
        <v>19</v>
      </c>
      <c r="L39" s="1" t="s">
        <v>32</v>
      </c>
      <c r="M39" s="1" t="s">
        <v>125</v>
      </c>
      <c r="N39" s="1" t="s">
        <v>60</v>
      </c>
      <c r="O39" s="1" t="s">
        <v>2275</v>
      </c>
    </row>
    <row r="40" spans="1:15" x14ac:dyDescent="0.25">
      <c r="A40">
        <v>732</v>
      </c>
      <c r="B40" s="1" t="s">
        <v>27</v>
      </c>
      <c r="C40" s="1" t="str">
        <f t="shared" si="0"/>
        <v>Ontario</v>
      </c>
      <c r="D40" s="1" t="s">
        <v>73</v>
      </c>
      <c r="E40" s="5">
        <v>58</v>
      </c>
      <c r="F40" s="1" t="s">
        <v>32</v>
      </c>
      <c r="G40" s="1" t="s">
        <v>32</v>
      </c>
      <c r="H40" t="s">
        <v>2270</v>
      </c>
      <c r="I40" s="1" t="s">
        <v>24</v>
      </c>
      <c r="J40" s="1" t="s">
        <v>18</v>
      </c>
      <c r="K40" s="1" t="s">
        <v>19</v>
      </c>
      <c r="L40" s="1" t="s">
        <v>32</v>
      </c>
      <c r="M40" s="1" t="s">
        <v>126</v>
      </c>
      <c r="N40" s="1" t="s">
        <v>22</v>
      </c>
      <c r="O40" s="1" t="s">
        <v>2275</v>
      </c>
    </row>
    <row r="41" spans="1:15" x14ac:dyDescent="0.25">
      <c r="A41">
        <v>756</v>
      </c>
      <c r="B41" s="1" t="s">
        <v>104</v>
      </c>
      <c r="C41" s="1" t="str">
        <f t="shared" si="0"/>
        <v>Nova Scotia</v>
      </c>
      <c r="D41" s="1" t="s">
        <v>28</v>
      </c>
      <c r="E41" s="5">
        <v>44</v>
      </c>
      <c r="F41" s="1" t="s">
        <v>32</v>
      </c>
      <c r="G41" s="1" t="s">
        <v>32</v>
      </c>
      <c r="H41" t="s">
        <v>2270</v>
      </c>
      <c r="I41" s="1" t="s">
        <v>24</v>
      </c>
      <c r="J41" s="1" t="s">
        <v>25</v>
      </c>
      <c r="K41" s="1" t="s">
        <v>31</v>
      </c>
      <c r="L41" s="1" t="s">
        <v>91</v>
      </c>
      <c r="M41" s="1" t="s">
        <v>127</v>
      </c>
      <c r="N41" s="1" t="s">
        <v>22</v>
      </c>
      <c r="O41" s="1" t="s">
        <v>2286</v>
      </c>
    </row>
    <row r="42" spans="1:15" x14ac:dyDescent="0.25">
      <c r="A42">
        <v>777</v>
      </c>
      <c r="B42" s="1" t="s">
        <v>57</v>
      </c>
      <c r="C42" s="1" t="str">
        <f t="shared" si="0"/>
        <v>British Columbia</v>
      </c>
      <c r="D42" s="1" t="s">
        <v>73</v>
      </c>
      <c r="E42" s="5">
        <v>48</v>
      </c>
      <c r="F42" s="1" t="s">
        <v>128</v>
      </c>
      <c r="G42" s="1" t="s">
        <v>114</v>
      </c>
      <c r="H42" t="s">
        <v>2270</v>
      </c>
      <c r="I42" s="1" t="s">
        <v>43</v>
      </c>
      <c r="J42" s="1" t="s">
        <v>25</v>
      </c>
      <c r="K42" s="1" t="s">
        <v>31</v>
      </c>
      <c r="L42" s="1" t="s">
        <v>32</v>
      </c>
      <c r="M42" s="1" t="s">
        <v>129</v>
      </c>
      <c r="N42" s="1" t="s">
        <v>60</v>
      </c>
      <c r="O42" s="1" t="s">
        <v>2274</v>
      </c>
    </row>
    <row r="43" spans="1:15" x14ac:dyDescent="0.25">
      <c r="A43">
        <v>778</v>
      </c>
      <c r="B43" s="1" t="s">
        <v>57</v>
      </c>
      <c r="C43" s="1" t="str">
        <f t="shared" si="0"/>
        <v>British Columbia</v>
      </c>
      <c r="D43" s="1" t="s">
        <v>73</v>
      </c>
      <c r="E43" s="5">
        <v>47</v>
      </c>
      <c r="F43" s="1" t="s">
        <v>130</v>
      </c>
      <c r="G43" s="1" t="s">
        <v>32</v>
      </c>
      <c r="H43" t="s">
        <v>2270</v>
      </c>
      <c r="I43" s="1" t="s">
        <v>35</v>
      </c>
      <c r="J43" s="1" t="s">
        <v>25</v>
      </c>
      <c r="K43" s="1" t="s">
        <v>31</v>
      </c>
      <c r="L43" s="1" t="s">
        <v>32</v>
      </c>
      <c r="M43" s="1" t="s">
        <v>131</v>
      </c>
      <c r="N43" s="1" t="s">
        <v>22</v>
      </c>
      <c r="O43" s="1" t="s">
        <v>2274</v>
      </c>
    </row>
    <row r="44" spans="1:15" x14ac:dyDescent="0.25">
      <c r="A44">
        <v>779</v>
      </c>
      <c r="B44" s="1" t="s">
        <v>57</v>
      </c>
      <c r="C44" s="1" t="str">
        <f t="shared" si="0"/>
        <v>British Columbia</v>
      </c>
      <c r="D44" s="1" t="s">
        <v>73</v>
      </c>
      <c r="E44" s="5">
        <v>54</v>
      </c>
      <c r="F44" s="1" t="s">
        <v>47</v>
      </c>
      <c r="G44" s="1" t="s">
        <v>114</v>
      </c>
      <c r="H44" t="s">
        <v>2270</v>
      </c>
      <c r="I44" s="1" t="s">
        <v>35</v>
      </c>
      <c r="J44" s="1" t="s">
        <v>25</v>
      </c>
      <c r="K44" s="1" t="s">
        <v>31</v>
      </c>
      <c r="L44" s="1" t="s">
        <v>32</v>
      </c>
      <c r="M44" s="1" t="s">
        <v>132</v>
      </c>
      <c r="N44" s="1" t="s">
        <v>22</v>
      </c>
      <c r="O44" s="1" t="s">
        <v>2274</v>
      </c>
    </row>
    <row r="45" spans="1:15" x14ac:dyDescent="0.25">
      <c r="A45">
        <v>780</v>
      </c>
      <c r="B45" s="1" t="s">
        <v>57</v>
      </c>
      <c r="C45" s="1" t="str">
        <f t="shared" si="0"/>
        <v>British Columbia</v>
      </c>
      <c r="D45" s="1" t="s">
        <v>73</v>
      </c>
      <c r="E45" s="5">
        <v>54</v>
      </c>
      <c r="F45" s="1" t="s">
        <v>32</v>
      </c>
      <c r="G45" s="1" t="s">
        <v>32</v>
      </c>
      <c r="H45" t="s">
        <v>2270</v>
      </c>
      <c r="I45" s="1" t="s">
        <v>43</v>
      </c>
      <c r="J45" s="1" t="s">
        <v>25</v>
      </c>
      <c r="K45" s="1" t="s">
        <v>31</v>
      </c>
      <c r="L45" s="1" t="s">
        <v>20</v>
      </c>
      <c r="M45" s="1" t="s">
        <v>133</v>
      </c>
      <c r="N45" s="1" t="s">
        <v>22</v>
      </c>
      <c r="O45" s="1" t="s">
        <v>2274</v>
      </c>
    </row>
    <row r="46" spans="1:15" x14ac:dyDescent="0.25">
      <c r="A46">
        <v>786</v>
      </c>
      <c r="B46" s="1" t="s">
        <v>57</v>
      </c>
      <c r="C46" s="1" t="str">
        <f t="shared" si="0"/>
        <v>British Columbia</v>
      </c>
      <c r="D46" s="1" t="s">
        <v>73</v>
      </c>
      <c r="E46" s="5">
        <v>40</v>
      </c>
      <c r="F46" s="1" t="s">
        <v>32</v>
      </c>
      <c r="G46" s="1" t="s">
        <v>32</v>
      </c>
      <c r="H46" t="s">
        <v>2270</v>
      </c>
      <c r="I46" s="1" t="s">
        <v>17</v>
      </c>
      <c r="J46" s="1" t="s">
        <v>44</v>
      </c>
      <c r="K46" s="1" t="s">
        <v>107</v>
      </c>
      <c r="L46" s="1" t="s">
        <v>91</v>
      </c>
      <c r="M46" s="1" t="s">
        <v>134</v>
      </c>
      <c r="N46" s="1" t="s">
        <v>60</v>
      </c>
      <c r="O46" s="1" t="s">
        <v>2274</v>
      </c>
    </row>
    <row r="47" spans="1:15" x14ac:dyDescent="0.25">
      <c r="A47">
        <v>787</v>
      </c>
      <c r="B47" s="1" t="s">
        <v>57</v>
      </c>
      <c r="C47" s="1" t="str">
        <f t="shared" si="0"/>
        <v>British Columbia</v>
      </c>
      <c r="D47" s="1" t="s">
        <v>73</v>
      </c>
      <c r="E47" s="5">
        <v>41</v>
      </c>
      <c r="F47" s="1" t="s">
        <v>32</v>
      </c>
      <c r="G47" s="1" t="s">
        <v>32</v>
      </c>
      <c r="H47" t="s">
        <v>2270</v>
      </c>
      <c r="I47" s="1" t="s">
        <v>24</v>
      </c>
      <c r="J47" s="1" t="s">
        <v>44</v>
      </c>
      <c r="K47" s="1" t="s">
        <v>107</v>
      </c>
      <c r="L47" s="1" t="s">
        <v>32</v>
      </c>
      <c r="M47" s="1" t="s">
        <v>135</v>
      </c>
      <c r="N47" s="1" t="s">
        <v>60</v>
      </c>
      <c r="O47" s="1" t="s">
        <v>2274</v>
      </c>
    </row>
    <row r="48" spans="1:15" x14ac:dyDescent="0.25">
      <c r="A48">
        <v>788</v>
      </c>
      <c r="B48" s="1" t="s">
        <v>57</v>
      </c>
      <c r="C48" s="1" t="str">
        <f t="shared" si="0"/>
        <v>British Columbia</v>
      </c>
      <c r="D48" s="1" t="s">
        <v>73</v>
      </c>
      <c r="E48" s="5">
        <v>40</v>
      </c>
      <c r="F48" s="1" t="s">
        <v>32</v>
      </c>
      <c r="G48" s="1" t="s">
        <v>32</v>
      </c>
      <c r="H48" t="s">
        <v>2270</v>
      </c>
      <c r="I48" s="1" t="s">
        <v>17</v>
      </c>
      <c r="J48" s="1" t="s">
        <v>44</v>
      </c>
      <c r="K48" s="1" t="s">
        <v>107</v>
      </c>
      <c r="L48" s="1" t="s">
        <v>32</v>
      </c>
      <c r="M48" s="1" t="s">
        <v>136</v>
      </c>
      <c r="N48" s="1" t="s">
        <v>60</v>
      </c>
      <c r="O48" s="1" t="s">
        <v>2274</v>
      </c>
    </row>
    <row r="49" spans="1:15" x14ac:dyDescent="0.25">
      <c r="A49">
        <v>790</v>
      </c>
      <c r="B49" s="1" t="s">
        <v>57</v>
      </c>
      <c r="C49" s="1" t="str">
        <f t="shared" si="0"/>
        <v>British Columbia</v>
      </c>
      <c r="D49" s="1" t="s">
        <v>73</v>
      </c>
      <c r="E49" s="5">
        <v>32</v>
      </c>
      <c r="F49" s="1" t="s">
        <v>32</v>
      </c>
      <c r="G49" s="1" t="s">
        <v>32</v>
      </c>
      <c r="H49" t="s">
        <v>2270</v>
      </c>
      <c r="I49" s="1" t="s">
        <v>64</v>
      </c>
      <c r="J49" s="1" t="s">
        <v>25</v>
      </c>
      <c r="K49" s="1" t="s">
        <v>107</v>
      </c>
      <c r="L49" s="1" t="s">
        <v>32</v>
      </c>
      <c r="M49" s="1" t="s">
        <v>137</v>
      </c>
      <c r="N49" s="1" t="s">
        <v>22</v>
      </c>
      <c r="O49" s="1" t="s">
        <v>2274</v>
      </c>
    </row>
    <row r="50" spans="1:15" x14ac:dyDescent="0.25">
      <c r="A50">
        <v>791</v>
      </c>
      <c r="B50" s="1" t="s">
        <v>57</v>
      </c>
      <c r="C50" s="1" t="str">
        <f t="shared" si="0"/>
        <v>British Columbia</v>
      </c>
      <c r="D50" s="1" t="s">
        <v>73</v>
      </c>
      <c r="E50" s="5">
        <v>40</v>
      </c>
      <c r="F50" s="1" t="s">
        <v>32</v>
      </c>
      <c r="G50" s="1" t="s">
        <v>32</v>
      </c>
      <c r="H50" t="s">
        <v>2270</v>
      </c>
      <c r="I50" s="1" t="s">
        <v>17</v>
      </c>
      <c r="J50" s="1" t="s">
        <v>44</v>
      </c>
      <c r="K50" s="1" t="s">
        <v>107</v>
      </c>
      <c r="L50" s="1" t="s">
        <v>32</v>
      </c>
      <c r="M50" s="1" t="s">
        <v>138</v>
      </c>
      <c r="N50" s="1" t="s">
        <v>22</v>
      </c>
      <c r="O50" s="1" t="s">
        <v>2274</v>
      </c>
    </row>
    <row r="51" spans="1:15" x14ac:dyDescent="0.25">
      <c r="A51">
        <v>792</v>
      </c>
      <c r="B51" s="1" t="s">
        <v>57</v>
      </c>
      <c r="C51" s="1" t="str">
        <f t="shared" si="0"/>
        <v>British Columbia</v>
      </c>
      <c r="D51" s="1" t="s">
        <v>73</v>
      </c>
      <c r="E51" s="5">
        <v>40</v>
      </c>
      <c r="F51" s="1" t="s">
        <v>32</v>
      </c>
      <c r="G51" s="1" t="s">
        <v>32</v>
      </c>
      <c r="H51" t="s">
        <v>2270</v>
      </c>
      <c r="I51" s="1" t="s">
        <v>17</v>
      </c>
      <c r="J51" s="1" t="s">
        <v>44</v>
      </c>
      <c r="K51" s="1" t="s">
        <v>107</v>
      </c>
      <c r="L51" s="1" t="s">
        <v>91</v>
      </c>
      <c r="M51" s="1" t="s">
        <v>139</v>
      </c>
      <c r="N51" s="1" t="s">
        <v>60</v>
      </c>
      <c r="O51" s="1" t="s">
        <v>2274</v>
      </c>
    </row>
    <row r="52" spans="1:15" x14ac:dyDescent="0.25">
      <c r="A52">
        <v>794</v>
      </c>
      <c r="B52" s="1" t="s">
        <v>57</v>
      </c>
      <c r="C52" s="1" t="str">
        <f t="shared" si="0"/>
        <v>British Columbia</v>
      </c>
      <c r="D52" s="1" t="s">
        <v>73</v>
      </c>
      <c r="E52" s="5">
        <v>38</v>
      </c>
      <c r="F52" s="1" t="s">
        <v>32</v>
      </c>
      <c r="G52" s="1" t="s">
        <v>32</v>
      </c>
      <c r="H52" t="s">
        <v>2270</v>
      </c>
      <c r="I52" s="1" t="s">
        <v>24</v>
      </c>
      <c r="J52" s="1" t="s">
        <v>44</v>
      </c>
      <c r="K52" s="1" t="s">
        <v>107</v>
      </c>
      <c r="L52" s="1" t="s">
        <v>32</v>
      </c>
      <c r="M52" s="1" t="s">
        <v>140</v>
      </c>
      <c r="N52" s="1" t="s">
        <v>60</v>
      </c>
      <c r="O52" s="1" t="s">
        <v>2274</v>
      </c>
    </row>
    <row r="53" spans="1:15" x14ac:dyDescent="0.25">
      <c r="A53">
        <v>795</v>
      </c>
      <c r="B53" s="1" t="s">
        <v>57</v>
      </c>
      <c r="C53" s="1" t="str">
        <f t="shared" si="0"/>
        <v>British Columbia</v>
      </c>
      <c r="D53" s="1" t="s">
        <v>73</v>
      </c>
      <c r="E53" s="5">
        <v>40</v>
      </c>
      <c r="F53" s="1" t="s">
        <v>32</v>
      </c>
      <c r="G53" s="1" t="s">
        <v>32</v>
      </c>
      <c r="H53" t="s">
        <v>2270</v>
      </c>
      <c r="I53" s="1" t="s">
        <v>17</v>
      </c>
      <c r="J53" s="1" t="s">
        <v>44</v>
      </c>
      <c r="K53" s="1" t="s">
        <v>107</v>
      </c>
      <c r="L53" s="1" t="s">
        <v>32</v>
      </c>
      <c r="M53" s="1" t="s">
        <v>141</v>
      </c>
      <c r="N53" s="1" t="s">
        <v>22</v>
      </c>
      <c r="O53" s="1" t="s">
        <v>2274</v>
      </c>
    </row>
    <row r="54" spans="1:15" x14ac:dyDescent="0.25">
      <c r="A54">
        <v>796</v>
      </c>
      <c r="B54" s="1" t="s">
        <v>57</v>
      </c>
      <c r="C54" s="1" t="str">
        <f t="shared" si="0"/>
        <v>British Columbia</v>
      </c>
      <c r="D54" s="1" t="s">
        <v>73</v>
      </c>
      <c r="E54" s="5">
        <v>41</v>
      </c>
      <c r="F54" s="1" t="s">
        <v>32</v>
      </c>
      <c r="G54" s="1" t="s">
        <v>32</v>
      </c>
      <c r="H54" t="s">
        <v>2270</v>
      </c>
      <c r="I54" s="1" t="s">
        <v>17</v>
      </c>
      <c r="J54" s="1" t="s">
        <v>44</v>
      </c>
      <c r="K54" s="1" t="s">
        <v>107</v>
      </c>
      <c r="L54" s="1" t="s">
        <v>32</v>
      </c>
      <c r="M54" s="1" t="s">
        <v>142</v>
      </c>
      <c r="N54" s="1" t="s">
        <v>60</v>
      </c>
      <c r="O54" s="1" t="s">
        <v>2274</v>
      </c>
    </row>
    <row r="55" spans="1:15" x14ac:dyDescent="0.25">
      <c r="A55">
        <v>804</v>
      </c>
      <c r="B55" s="1" t="s">
        <v>27</v>
      </c>
      <c r="C55" s="1" t="str">
        <f t="shared" si="0"/>
        <v>Ontario</v>
      </c>
      <c r="D55" s="1" t="s">
        <v>28</v>
      </c>
      <c r="E55" s="5">
        <v>39</v>
      </c>
      <c r="F55" s="1" t="s">
        <v>143</v>
      </c>
      <c r="G55" s="1" t="s">
        <v>32</v>
      </c>
      <c r="H55" t="s">
        <v>2270</v>
      </c>
      <c r="I55" s="1" t="s">
        <v>17</v>
      </c>
      <c r="J55" s="1" t="s">
        <v>25</v>
      </c>
      <c r="K55" s="1" t="s">
        <v>31</v>
      </c>
      <c r="L55" s="1" t="s">
        <v>32</v>
      </c>
      <c r="M55" s="1" t="s">
        <v>144</v>
      </c>
      <c r="N55" s="1" t="s">
        <v>60</v>
      </c>
      <c r="O55" s="1" t="s">
        <v>2275</v>
      </c>
    </row>
    <row r="56" spans="1:15" x14ac:dyDescent="0.25">
      <c r="A56">
        <v>806</v>
      </c>
      <c r="B56" s="1" t="s">
        <v>27</v>
      </c>
      <c r="C56" s="1" t="str">
        <f t="shared" si="0"/>
        <v>Ontario</v>
      </c>
      <c r="D56" s="1" t="s">
        <v>28</v>
      </c>
      <c r="E56" s="5">
        <v>50</v>
      </c>
      <c r="F56" s="1" t="s">
        <v>145</v>
      </c>
      <c r="G56" s="1" t="s">
        <v>32</v>
      </c>
      <c r="H56" t="s">
        <v>2270</v>
      </c>
      <c r="I56" s="1" t="s">
        <v>43</v>
      </c>
      <c r="J56" s="1" t="s">
        <v>25</v>
      </c>
      <c r="K56" s="1" t="s">
        <v>31</v>
      </c>
      <c r="L56" s="1" t="s">
        <v>45</v>
      </c>
      <c r="M56" s="1" t="s">
        <v>146</v>
      </c>
      <c r="N56" s="1" t="s">
        <v>22</v>
      </c>
      <c r="O56" s="1" t="s">
        <v>2275</v>
      </c>
    </row>
    <row r="57" spans="1:15" x14ac:dyDescent="0.25">
      <c r="A57">
        <v>807</v>
      </c>
      <c r="B57" s="1" t="s">
        <v>147</v>
      </c>
      <c r="C57" s="1" t="str">
        <f t="shared" si="0"/>
        <v>Manitoba</v>
      </c>
      <c r="D57" s="1" t="s">
        <v>14</v>
      </c>
      <c r="E57" s="5">
        <v>37</v>
      </c>
      <c r="F57" s="1" t="s">
        <v>32</v>
      </c>
      <c r="G57" s="1" t="s">
        <v>32</v>
      </c>
      <c r="H57" t="s">
        <v>2271</v>
      </c>
      <c r="I57" s="1" t="s">
        <v>17</v>
      </c>
      <c r="J57" s="1" t="s">
        <v>25</v>
      </c>
      <c r="K57" s="1" t="s">
        <v>31</v>
      </c>
      <c r="L57" s="1" t="s">
        <v>91</v>
      </c>
      <c r="M57" s="1" t="s">
        <v>148</v>
      </c>
      <c r="N57" s="1" t="s">
        <v>60</v>
      </c>
      <c r="O57" s="1" t="s">
        <v>2283</v>
      </c>
    </row>
    <row r="58" spans="1:15" x14ac:dyDescent="0.25">
      <c r="A58">
        <v>808</v>
      </c>
      <c r="B58" s="1" t="s">
        <v>147</v>
      </c>
      <c r="C58" s="1" t="str">
        <f t="shared" si="0"/>
        <v>Manitoba</v>
      </c>
      <c r="D58" s="1" t="s">
        <v>14</v>
      </c>
      <c r="E58" s="5">
        <v>40</v>
      </c>
      <c r="F58" s="1" t="s">
        <v>149</v>
      </c>
      <c r="G58" s="1" t="s">
        <v>150</v>
      </c>
      <c r="H58" t="s">
        <v>2270</v>
      </c>
      <c r="I58" s="1" t="s">
        <v>17</v>
      </c>
      <c r="J58" s="1" t="s">
        <v>25</v>
      </c>
      <c r="K58" s="1" t="s">
        <v>31</v>
      </c>
      <c r="L58" s="1" t="s">
        <v>91</v>
      </c>
      <c r="M58" s="1" t="s">
        <v>151</v>
      </c>
      <c r="N58" s="1" t="s">
        <v>22</v>
      </c>
      <c r="O58" s="1" t="s">
        <v>2283</v>
      </c>
    </row>
    <row r="59" spans="1:15" x14ac:dyDescent="0.25">
      <c r="A59">
        <v>809</v>
      </c>
      <c r="B59" s="1" t="s">
        <v>147</v>
      </c>
      <c r="C59" s="1" t="str">
        <f t="shared" si="0"/>
        <v>Manitoba</v>
      </c>
      <c r="D59" s="1" t="s">
        <v>14</v>
      </c>
      <c r="E59" s="5">
        <v>42</v>
      </c>
      <c r="F59" s="1" t="s">
        <v>152</v>
      </c>
      <c r="G59" s="1" t="s">
        <v>153</v>
      </c>
      <c r="H59" t="s">
        <v>2270</v>
      </c>
      <c r="I59" s="1" t="s">
        <v>17</v>
      </c>
      <c r="J59" s="1" t="s">
        <v>25</v>
      </c>
      <c r="K59" s="1" t="s">
        <v>31</v>
      </c>
      <c r="L59" s="1" t="s">
        <v>91</v>
      </c>
      <c r="M59" s="1" t="s">
        <v>154</v>
      </c>
      <c r="N59" s="1" t="s">
        <v>22</v>
      </c>
      <c r="O59" s="1" t="s">
        <v>2283</v>
      </c>
    </row>
    <row r="60" spans="1:15" x14ac:dyDescent="0.25">
      <c r="A60">
        <v>810</v>
      </c>
      <c r="B60" s="1" t="s">
        <v>147</v>
      </c>
      <c r="C60" s="1" t="str">
        <f t="shared" si="0"/>
        <v>Manitoba</v>
      </c>
      <c r="D60" s="1" t="s">
        <v>14</v>
      </c>
      <c r="E60" s="5">
        <v>42</v>
      </c>
      <c r="F60" s="1" t="s">
        <v>155</v>
      </c>
      <c r="G60" s="1" t="s">
        <v>156</v>
      </c>
      <c r="H60" t="s">
        <v>2270</v>
      </c>
      <c r="I60" s="1" t="s">
        <v>24</v>
      </c>
      <c r="J60" s="1" t="s">
        <v>25</v>
      </c>
      <c r="K60" s="1" t="s">
        <v>31</v>
      </c>
      <c r="L60" s="1" t="s">
        <v>91</v>
      </c>
      <c r="M60" s="1" t="s">
        <v>157</v>
      </c>
      <c r="N60" s="1" t="s">
        <v>22</v>
      </c>
      <c r="O60" s="1" t="s">
        <v>2283</v>
      </c>
    </row>
    <row r="61" spans="1:15" x14ac:dyDescent="0.25">
      <c r="A61">
        <v>812</v>
      </c>
      <c r="B61" s="1" t="s">
        <v>158</v>
      </c>
      <c r="C61" s="1" t="str">
        <f t="shared" si="0"/>
        <v>Newfoundland and Labrador</v>
      </c>
      <c r="D61" s="1" t="s">
        <v>28</v>
      </c>
      <c r="E61" s="5">
        <v>39</v>
      </c>
      <c r="F61" s="1" t="s">
        <v>32</v>
      </c>
      <c r="G61" s="1" t="s">
        <v>159</v>
      </c>
      <c r="H61" t="s">
        <v>2270</v>
      </c>
      <c r="I61" s="1" t="s">
        <v>17</v>
      </c>
      <c r="J61" s="1" t="s">
        <v>25</v>
      </c>
      <c r="K61" s="1" t="s">
        <v>31</v>
      </c>
      <c r="L61" s="1" t="s">
        <v>91</v>
      </c>
      <c r="M61" s="1" t="s">
        <v>160</v>
      </c>
      <c r="N61" s="1" t="s">
        <v>60</v>
      </c>
      <c r="O61" s="1" t="s">
        <v>2285</v>
      </c>
    </row>
    <row r="62" spans="1:15" x14ac:dyDescent="0.25">
      <c r="A62">
        <v>813</v>
      </c>
      <c r="B62" s="1" t="s">
        <v>57</v>
      </c>
      <c r="C62" s="1" t="str">
        <f t="shared" si="0"/>
        <v>British Columbia</v>
      </c>
      <c r="D62" s="1" t="s">
        <v>73</v>
      </c>
      <c r="E62" s="5">
        <v>68</v>
      </c>
      <c r="F62" s="1" t="s">
        <v>32</v>
      </c>
      <c r="G62" s="1" t="s">
        <v>32</v>
      </c>
      <c r="H62" t="s">
        <v>2270</v>
      </c>
      <c r="I62" s="1" t="s">
        <v>43</v>
      </c>
      <c r="J62" s="1" t="s">
        <v>25</v>
      </c>
      <c r="K62" s="1" t="s">
        <v>31</v>
      </c>
      <c r="L62" s="1" t="s">
        <v>32</v>
      </c>
      <c r="M62" s="1" t="s">
        <v>161</v>
      </c>
      <c r="N62" s="1" t="s">
        <v>22</v>
      </c>
      <c r="O62" s="1" t="s">
        <v>2274</v>
      </c>
    </row>
    <row r="63" spans="1:15" x14ac:dyDescent="0.25">
      <c r="A63">
        <v>814</v>
      </c>
      <c r="B63" s="1" t="s">
        <v>57</v>
      </c>
      <c r="C63" s="1" t="str">
        <f t="shared" si="0"/>
        <v>British Columbia</v>
      </c>
      <c r="D63" s="1" t="s">
        <v>73</v>
      </c>
      <c r="E63" s="5">
        <v>47.06</v>
      </c>
      <c r="F63" s="1" t="s">
        <v>32</v>
      </c>
      <c r="G63" s="1" t="s">
        <v>162</v>
      </c>
      <c r="H63" t="s">
        <v>2270</v>
      </c>
      <c r="I63" s="1" t="s">
        <v>64</v>
      </c>
      <c r="J63" s="1" t="s">
        <v>25</v>
      </c>
      <c r="K63" s="1" t="s">
        <v>19</v>
      </c>
      <c r="L63" s="1" t="s">
        <v>32</v>
      </c>
      <c r="M63" s="1" t="s">
        <v>163</v>
      </c>
      <c r="N63" s="1" t="s">
        <v>60</v>
      </c>
      <c r="O63" s="1" t="s">
        <v>2274</v>
      </c>
    </row>
    <row r="64" spans="1:15" x14ac:dyDescent="0.25">
      <c r="A64">
        <v>815</v>
      </c>
      <c r="B64" s="1" t="s">
        <v>57</v>
      </c>
      <c r="C64" s="1" t="str">
        <f t="shared" si="0"/>
        <v>British Columbia</v>
      </c>
      <c r="D64" s="1" t="s">
        <v>73</v>
      </c>
      <c r="E64" s="5">
        <v>40</v>
      </c>
      <c r="F64" s="1" t="s">
        <v>164</v>
      </c>
      <c r="G64" s="1" t="s">
        <v>165</v>
      </c>
      <c r="H64" t="s">
        <v>2270</v>
      </c>
      <c r="I64" s="1" t="s">
        <v>17</v>
      </c>
      <c r="J64" s="1" t="s">
        <v>25</v>
      </c>
      <c r="K64" s="1" t="s">
        <v>31</v>
      </c>
      <c r="L64" s="1" t="s">
        <v>91</v>
      </c>
      <c r="M64" s="1" t="s">
        <v>166</v>
      </c>
      <c r="N64" s="1" t="s">
        <v>60</v>
      </c>
      <c r="O64" s="1" t="s">
        <v>2274</v>
      </c>
    </row>
    <row r="65" spans="1:15" x14ac:dyDescent="0.25">
      <c r="A65">
        <v>816</v>
      </c>
      <c r="B65" s="1" t="s">
        <v>57</v>
      </c>
      <c r="C65" s="1" t="str">
        <f t="shared" si="0"/>
        <v>British Columbia</v>
      </c>
      <c r="D65" s="1" t="s">
        <v>73</v>
      </c>
      <c r="E65" s="5">
        <v>38</v>
      </c>
      <c r="F65" s="1" t="s">
        <v>167</v>
      </c>
      <c r="G65" s="1" t="s">
        <v>168</v>
      </c>
      <c r="H65" t="s">
        <v>2270</v>
      </c>
      <c r="I65" s="1" t="s">
        <v>64</v>
      </c>
      <c r="J65" s="1" t="s">
        <v>25</v>
      </c>
      <c r="K65" s="1" t="s">
        <v>19</v>
      </c>
      <c r="L65" s="1" t="s">
        <v>32</v>
      </c>
      <c r="M65" s="1" t="s">
        <v>169</v>
      </c>
      <c r="N65" s="1" t="s">
        <v>60</v>
      </c>
      <c r="O65" s="1" t="s">
        <v>2274</v>
      </c>
    </row>
    <row r="66" spans="1:15" x14ac:dyDescent="0.25">
      <c r="A66">
        <v>817</v>
      </c>
      <c r="B66" s="1" t="s">
        <v>57</v>
      </c>
      <c r="C66" s="1" t="str">
        <f t="shared" ref="C66:C129" si="1">IF(B66="NB","New Brunswick",IF(B66="AB","Alberta",IF(B66="BC","British Columbia",IF(B66="MB","Manitoba",IF(B66="NL","Newfoundland and Labrador",IF(B66="NS","Nova Scotia",IF(B66="ON","Ontario",IF(B66="PE","Prince Edward Island",IF(B66="QC","Quebec",IF(B66="SK","Saskatchewan",""))))))))))</f>
        <v>British Columbia</v>
      </c>
      <c r="D66" s="1" t="s">
        <v>73</v>
      </c>
      <c r="E66" s="5">
        <v>44</v>
      </c>
      <c r="F66" s="1" t="s">
        <v>170</v>
      </c>
      <c r="G66" s="1" t="s">
        <v>32</v>
      </c>
      <c r="H66" t="s">
        <v>2270</v>
      </c>
      <c r="I66" s="1" t="s">
        <v>43</v>
      </c>
      <c r="J66" s="1" t="s">
        <v>25</v>
      </c>
      <c r="K66" s="1" t="s">
        <v>31</v>
      </c>
      <c r="L66" s="1" t="s">
        <v>91</v>
      </c>
      <c r="M66" s="1" t="s">
        <v>171</v>
      </c>
      <c r="N66" s="1" t="s">
        <v>22</v>
      </c>
      <c r="O66" s="1" t="s">
        <v>2274</v>
      </c>
    </row>
    <row r="67" spans="1:15" x14ac:dyDescent="0.25">
      <c r="A67">
        <v>818</v>
      </c>
      <c r="B67" s="1" t="s">
        <v>57</v>
      </c>
      <c r="C67" s="1" t="str">
        <f t="shared" si="1"/>
        <v>British Columbia</v>
      </c>
      <c r="D67" s="1" t="s">
        <v>73</v>
      </c>
      <c r="E67" s="5">
        <v>38</v>
      </c>
      <c r="F67" s="1" t="s">
        <v>32</v>
      </c>
      <c r="G67" s="1" t="s">
        <v>172</v>
      </c>
      <c r="H67" t="s">
        <v>2270</v>
      </c>
      <c r="I67" s="1" t="s">
        <v>64</v>
      </c>
      <c r="J67" s="1" t="s">
        <v>25</v>
      </c>
      <c r="K67" s="1" t="s">
        <v>19</v>
      </c>
      <c r="L67" s="1" t="s">
        <v>32</v>
      </c>
      <c r="M67" s="1" t="s">
        <v>173</v>
      </c>
      <c r="N67" s="1" t="s">
        <v>60</v>
      </c>
      <c r="O67" s="1" t="s">
        <v>2274</v>
      </c>
    </row>
    <row r="68" spans="1:15" x14ac:dyDescent="0.25">
      <c r="A68">
        <v>819</v>
      </c>
      <c r="B68" s="1" t="s">
        <v>57</v>
      </c>
      <c r="C68" s="1" t="str">
        <f t="shared" si="1"/>
        <v>British Columbia</v>
      </c>
      <c r="D68" s="1" t="s">
        <v>73</v>
      </c>
      <c r="E68" s="5">
        <v>36</v>
      </c>
      <c r="F68" s="1" t="s">
        <v>174</v>
      </c>
      <c r="G68" s="1" t="s">
        <v>175</v>
      </c>
      <c r="H68" t="s">
        <v>2270</v>
      </c>
      <c r="I68" s="1" t="s">
        <v>17</v>
      </c>
      <c r="J68" s="1" t="s">
        <v>25</v>
      </c>
      <c r="K68" s="1" t="s">
        <v>19</v>
      </c>
      <c r="L68" s="1" t="s">
        <v>32</v>
      </c>
      <c r="M68" s="1" t="s">
        <v>176</v>
      </c>
      <c r="N68" s="1" t="s">
        <v>60</v>
      </c>
      <c r="O68" s="1" t="s">
        <v>2274</v>
      </c>
    </row>
    <row r="69" spans="1:15" x14ac:dyDescent="0.25">
      <c r="A69">
        <v>820</v>
      </c>
      <c r="B69" s="1" t="s">
        <v>57</v>
      </c>
      <c r="C69" s="1" t="str">
        <f t="shared" si="1"/>
        <v>British Columbia</v>
      </c>
      <c r="D69" s="1" t="s">
        <v>73</v>
      </c>
      <c r="E69" s="5">
        <v>47</v>
      </c>
      <c r="F69" s="1" t="s">
        <v>177</v>
      </c>
      <c r="G69" s="1" t="s">
        <v>32</v>
      </c>
      <c r="H69" t="s">
        <v>2270</v>
      </c>
      <c r="I69" s="1" t="s">
        <v>43</v>
      </c>
      <c r="J69" s="1" t="s">
        <v>25</v>
      </c>
      <c r="K69" s="1" t="s">
        <v>31</v>
      </c>
      <c r="L69" s="1" t="s">
        <v>45</v>
      </c>
      <c r="M69" s="1" t="s">
        <v>178</v>
      </c>
      <c r="N69" s="1" t="s">
        <v>22</v>
      </c>
      <c r="O69" s="1" t="s">
        <v>2274</v>
      </c>
    </row>
    <row r="70" spans="1:15" x14ac:dyDescent="0.25">
      <c r="A70">
        <v>821</v>
      </c>
      <c r="B70" s="1" t="s">
        <v>57</v>
      </c>
      <c r="C70" s="1" t="str">
        <f t="shared" si="1"/>
        <v>British Columbia</v>
      </c>
      <c r="D70" s="1" t="s">
        <v>73</v>
      </c>
      <c r="E70" s="5">
        <v>48</v>
      </c>
      <c r="F70" s="1" t="s">
        <v>179</v>
      </c>
      <c r="G70" s="1" t="s">
        <v>32</v>
      </c>
      <c r="H70" t="s">
        <v>2270</v>
      </c>
      <c r="I70" s="1" t="s">
        <v>43</v>
      </c>
      <c r="J70" s="1" t="s">
        <v>25</v>
      </c>
      <c r="K70" s="1" t="s">
        <v>31</v>
      </c>
      <c r="L70" s="1" t="s">
        <v>45</v>
      </c>
      <c r="M70" s="1" t="s">
        <v>180</v>
      </c>
      <c r="N70" s="1" t="s">
        <v>60</v>
      </c>
      <c r="O70" s="1" t="s">
        <v>2274</v>
      </c>
    </row>
    <row r="71" spans="1:15" x14ac:dyDescent="0.25">
      <c r="A71">
        <v>822</v>
      </c>
      <c r="B71" s="1" t="s">
        <v>57</v>
      </c>
      <c r="C71" s="1" t="str">
        <f t="shared" si="1"/>
        <v>British Columbia</v>
      </c>
      <c r="D71" s="1" t="s">
        <v>73</v>
      </c>
      <c r="E71" s="5">
        <v>41</v>
      </c>
      <c r="F71" s="1" t="s">
        <v>181</v>
      </c>
      <c r="G71" s="1" t="s">
        <v>32</v>
      </c>
      <c r="H71" t="s">
        <v>2270</v>
      </c>
      <c r="I71" s="1" t="s">
        <v>17</v>
      </c>
      <c r="J71" s="1" t="s">
        <v>25</v>
      </c>
      <c r="K71" s="1" t="s">
        <v>31</v>
      </c>
      <c r="L71" s="1" t="s">
        <v>32</v>
      </c>
      <c r="M71" s="1" t="s">
        <v>182</v>
      </c>
      <c r="N71" s="1" t="s">
        <v>60</v>
      </c>
      <c r="O71" s="1" t="s">
        <v>2274</v>
      </c>
    </row>
    <row r="72" spans="1:15" x14ac:dyDescent="0.25">
      <c r="A72">
        <v>823</v>
      </c>
      <c r="B72" s="1" t="s">
        <v>57</v>
      </c>
      <c r="C72" s="1" t="str">
        <f t="shared" si="1"/>
        <v>British Columbia</v>
      </c>
      <c r="D72" s="1" t="s">
        <v>73</v>
      </c>
      <c r="E72" s="5">
        <v>43</v>
      </c>
      <c r="F72" s="1" t="s">
        <v>32</v>
      </c>
      <c r="G72" s="1" t="s">
        <v>32</v>
      </c>
      <c r="H72" t="s">
        <v>2270</v>
      </c>
      <c r="I72" s="1" t="s">
        <v>17</v>
      </c>
      <c r="J72" s="1" t="s">
        <v>25</v>
      </c>
      <c r="K72" s="1" t="s">
        <v>31</v>
      </c>
      <c r="L72" s="1" t="s">
        <v>32</v>
      </c>
      <c r="M72" s="1" t="s">
        <v>183</v>
      </c>
      <c r="N72" s="1" t="s">
        <v>60</v>
      </c>
      <c r="O72" s="1" t="s">
        <v>2274</v>
      </c>
    </row>
    <row r="73" spans="1:15" x14ac:dyDescent="0.25">
      <c r="A73">
        <v>824</v>
      </c>
      <c r="B73" s="1" t="s">
        <v>57</v>
      </c>
      <c r="C73" s="1" t="str">
        <f t="shared" si="1"/>
        <v>British Columbia</v>
      </c>
      <c r="D73" s="1" t="s">
        <v>73</v>
      </c>
      <c r="E73" s="5">
        <v>39</v>
      </c>
      <c r="F73" s="1" t="s">
        <v>184</v>
      </c>
      <c r="G73" s="1" t="s">
        <v>185</v>
      </c>
      <c r="H73" t="s">
        <v>2270</v>
      </c>
      <c r="I73" s="1" t="s">
        <v>17</v>
      </c>
      <c r="J73" s="1" t="s">
        <v>25</v>
      </c>
      <c r="K73" s="1" t="s">
        <v>31</v>
      </c>
      <c r="L73" s="1" t="s">
        <v>32</v>
      </c>
      <c r="M73" s="1" t="s">
        <v>186</v>
      </c>
      <c r="N73" s="1" t="s">
        <v>60</v>
      </c>
      <c r="O73" s="1" t="s">
        <v>2274</v>
      </c>
    </row>
    <row r="74" spans="1:15" x14ac:dyDescent="0.25">
      <c r="A74">
        <v>825</v>
      </c>
      <c r="B74" s="1" t="s">
        <v>57</v>
      </c>
      <c r="C74" s="1" t="str">
        <f t="shared" si="1"/>
        <v>British Columbia</v>
      </c>
      <c r="D74" s="1" t="s">
        <v>73</v>
      </c>
      <c r="E74" s="5">
        <v>41</v>
      </c>
      <c r="F74" s="1" t="s">
        <v>187</v>
      </c>
      <c r="G74" s="1" t="s">
        <v>32</v>
      </c>
      <c r="H74" t="s">
        <v>2270</v>
      </c>
      <c r="I74" s="1" t="s">
        <v>17</v>
      </c>
      <c r="J74" s="1" t="s">
        <v>25</v>
      </c>
      <c r="K74" s="1" t="s">
        <v>31</v>
      </c>
      <c r="L74" s="1" t="s">
        <v>32</v>
      </c>
      <c r="M74" s="1" t="s">
        <v>188</v>
      </c>
      <c r="N74" s="1" t="s">
        <v>60</v>
      </c>
      <c r="O74" s="1" t="s">
        <v>2274</v>
      </c>
    </row>
    <row r="75" spans="1:15" x14ac:dyDescent="0.25">
      <c r="A75">
        <v>826</v>
      </c>
      <c r="B75" s="1" t="s">
        <v>57</v>
      </c>
      <c r="C75" s="1" t="str">
        <f t="shared" si="1"/>
        <v>British Columbia</v>
      </c>
      <c r="D75" s="1" t="s">
        <v>73</v>
      </c>
      <c r="E75" s="5">
        <v>41</v>
      </c>
      <c r="F75" s="1" t="s">
        <v>189</v>
      </c>
      <c r="G75" s="1" t="s">
        <v>114</v>
      </c>
      <c r="H75" t="s">
        <v>2270</v>
      </c>
      <c r="I75" s="1" t="s">
        <v>17</v>
      </c>
      <c r="J75" s="1" t="s">
        <v>25</v>
      </c>
      <c r="K75" s="1" t="s">
        <v>31</v>
      </c>
      <c r="L75" s="1" t="s">
        <v>32</v>
      </c>
      <c r="M75" s="1" t="s">
        <v>190</v>
      </c>
      <c r="N75" s="1" t="s">
        <v>60</v>
      </c>
      <c r="O75" s="1" t="s">
        <v>2274</v>
      </c>
    </row>
    <row r="76" spans="1:15" x14ac:dyDescent="0.25">
      <c r="A76">
        <v>827</v>
      </c>
      <c r="B76" s="1" t="s">
        <v>57</v>
      </c>
      <c r="C76" s="1" t="str">
        <f t="shared" si="1"/>
        <v>British Columbia</v>
      </c>
      <c r="D76" s="1" t="s">
        <v>73</v>
      </c>
      <c r="E76" s="5">
        <v>68</v>
      </c>
      <c r="F76" s="1" t="s">
        <v>191</v>
      </c>
      <c r="G76" s="1" t="s">
        <v>192</v>
      </c>
      <c r="H76" t="s">
        <v>2270</v>
      </c>
      <c r="I76" s="1" t="s">
        <v>43</v>
      </c>
      <c r="J76" s="1" t="s">
        <v>25</v>
      </c>
      <c r="K76" s="1" t="s">
        <v>31</v>
      </c>
      <c r="L76" s="1" t="s">
        <v>45</v>
      </c>
      <c r="M76" s="1" t="s">
        <v>193</v>
      </c>
      <c r="N76" s="1" t="s">
        <v>22</v>
      </c>
      <c r="O76" s="1" t="s">
        <v>2274</v>
      </c>
    </row>
    <row r="77" spans="1:15" x14ac:dyDescent="0.25">
      <c r="A77">
        <v>828</v>
      </c>
      <c r="B77" s="1" t="s">
        <v>27</v>
      </c>
      <c r="C77" s="1" t="str">
        <f t="shared" si="1"/>
        <v>Ontario</v>
      </c>
      <c r="D77" s="1" t="s">
        <v>28</v>
      </c>
      <c r="E77" s="5">
        <v>47.06</v>
      </c>
      <c r="F77" s="1" t="s">
        <v>194</v>
      </c>
      <c r="G77" s="1" t="s">
        <v>195</v>
      </c>
      <c r="H77" t="s">
        <v>2270</v>
      </c>
      <c r="I77" s="1" t="s">
        <v>40</v>
      </c>
      <c r="J77" s="1" t="s">
        <v>25</v>
      </c>
      <c r="K77" s="1" t="s">
        <v>31</v>
      </c>
      <c r="L77" s="1" t="s">
        <v>32</v>
      </c>
      <c r="M77" s="1" t="s">
        <v>196</v>
      </c>
      <c r="N77" s="1" t="s">
        <v>60</v>
      </c>
      <c r="O77" s="1" t="s">
        <v>2275</v>
      </c>
    </row>
    <row r="78" spans="1:15" x14ac:dyDescent="0.25">
      <c r="A78">
        <v>833</v>
      </c>
      <c r="B78" s="1" t="s">
        <v>27</v>
      </c>
      <c r="C78" s="1" t="str">
        <f t="shared" si="1"/>
        <v>Ontario</v>
      </c>
      <c r="D78" s="1" t="s">
        <v>28</v>
      </c>
      <c r="E78" s="5">
        <v>55</v>
      </c>
      <c r="F78" s="1" t="s">
        <v>32</v>
      </c>
      <c r="G78" s="1" t="s">
        <v>197</v>
      </c>
      <c r="H78" t="s">
        <v>2270</v>
      </c>
      <c r="I78" s="1" t="s">
        <v>24</v>
      </c>
      <c r="J78" s="1" t="s">
        <v>25</v>
      </c>
      <c r="K78" s="1" t="s">
        <v>31</v>
      </c>
      <c r="L78" s="1" t="s">
        <v>32</v>
      </c>
      <c r="M78" s="1" t="s">
        <v>198</v>
      </c>
      <c r="N78" s="1" t="s">
        <v>22</v>
      </c>
      <c r="O78" s="1" t="s">
        <v>2275</v>
      </c>
    </row>
    <row r="79" spans="1:15" x14ac:dyDescent="0.25">
      <c r="A79">
        <v>848</v>
      </c>
      <c r="B79" s="1" t="s">
        <v>27</v>
      </c>
      <c r="C79" s="1" t="str">
        <f t="shared" si="1"/>
        <v>Ontario</v>
      </c>
      <c r="D79" s="1" t="s">
        <v>28</v>
      </c>
      <c r="E79" s="5">
        <v>48</v>
      </c>
      <c r="F79" s="1" t="s">
        <v>199</v>
      </c>
      <c r="G79" s="1" t="s">
        <v>200</v>
      </c>
      <c r="H79" t="s">
        <v>2270</v>
      </c>
      <c r="I79" s="1" t="s">
        <v>40</v>
      </c>
      <c r="J79" s="1" t="s">
        <v>25</v>
      </c>
      <c r="K79" s="1" t="s">
        <v>31</v>
      </c>
      <c r="L79" s="1" t="s">
        <v>91</v>
      </c>
      <c r="M79" s="1" t="s">
        <v>201</v>
      </c>
      <c r="N79" s="1" t="s">
        <v>22</v>
      </c>
      <c r="O79" s="1" t="s">
        <v>2275</v>
      </c>
    </row>
    <row r="80" spans="1:15" x14ac:dyDescent="0.25">
      <c r="A80">
        <v>849</v>
      </c>
      <c r="B80" s="1" t="s">
        <v>27</v>
      </c>
      <c r="C80" s="1" t="str">
        <f t="shared" si="1"/>
        <v>Ontario</v>
      </c>
      <c r="D80" s="1" t="s">
        <v>28</v>
      </c>
      <c r="E80" s="5">
        <v>40</v>
      </c>
      <c r="F80" s="1" t="s">
        <v>202</v>
      </c>
      <c r="G80" s="1" t="s">
        <v>203</v>
      </c>
      <c r="H80" t="s">
        <v>2270</v>
      </c>
      <c r="I80" s="1" t="s">
        <v>24</v>
      </c>
      <c r="J80" s="1" t="s">
        <v>25</v>
      </c>
      <c r="K80" s="1" t="s">
        <v>31</v>
      </c>
      <c r="L80" s="1" t="s">
        <v>32</v>
      </c>
      <c r="M80" s="1" t="s">
        <v>204</v>
      </c>
      <c r="N80" s="1" t="s">
        <v>60</v>
      </c>
      <c r="O80" s="1" t="s">
        <v>2275</v>
      </c>
    </row>
    <row r="81" spans="1:15" x14ac:dyDescent="0.25">
      <c r="A81">
        <v>850</v>
      </c>
      <c r="B81" s="1" t="s">
        <v>27</v>
      </c>
      <c r="C81" s="1" t="str">
        <f t="shared" si="1"/>
        <v>Ontario</v>
      </c>
      <c r="D81" s="1" t="s">
        <v>28</v>
      </c>
      <c r="E81" s="5">
        <v>42</v>
      </c>
      <c r="F81" s="1" t="s">
        <v>205</v>
      </c>
      <c r="G81" s="1" t="s">
        <v>32</v>
      </c>
      <c r="H81" t="s">
        <v>2270</v>
      </c>
      <c r="I81" s="1" t="s">
        <v>24</v>
      </c>
      <c r="J81" s="1" t="s">
        <v>25</v>
      </c>
      <c r="K81" s="1" t="s">
        <v>31</v>
      </c>
      <c r="L81" s="1" t="s">
        <v>32</v>
      </c>
      <c r="M81" s="1" t="s">
        <v>206</v>
      </c>
      <c r="N81" s="1" t="s">
        <v>22</v>
      </c>
      <c r="O81" s="1" t="s">
        <v>2275</v>
      </c>
    </row>
    <row r="82" spans="1:15" x14ac:dyDescent="0.25">
      <c r="A82">
        <v>859</v>
      </c>
      <c r="B82" s="1" t="s">
        <v>27</v>
      </c>
      <c r="C82" s="1" t="str">
        <f t="shared" si="1"/>
        <v>Ontario</v>
      </c>
      <c r="D82" s="1" t="s">
        <v>28</v>
      </c>
      <c r="E82" s="5">
        <v>55</v>
      </c>
      <c r="F82" s="1" t="s">
        <v>207</v>
      </c>
      <c r="G82" s="1" t="s">
        <v>32</v>
      </c>
      <c r="H82" t="s">
        <v>2270</v>
      </c>
      <c r="I82" s="1" t="s">
        <v>43</v>
      </c>
      <c r="J82" s="1" t="s">
        <v>25</v>
      </c>
      <c r="K82" s="1" t="s">
        <v>31</v>
      </c>
      <c r="L82" s="1" t="s">
        <v>32</v>
      </c>
      <c r="M82" s="1" t="s">
        <v>208</v>
      </c>
      <c r="N82" s="1" t="s">
        <v>22</v>
      </c>
      <c r="O82" s="1" t="s">
        <v>2275</v>
      </c>
    </row>
    <row r="83" spans="1:15" x14ac:dyDescent="0.25">
      <c r="A83">
        <v>865</v>
      </c>
      <c r="B83" s="1" t="s">
        <v>27</v>
      </c>
      <c r="C83" s="1" t="str">
        <f t="shared" si="1"/>
        <v>Ontario</v>
      </c>
      <c r="D83" s="1" t="s">
        <v>28</v>
      </c>
      <c r="E83" s="5">
        <v>46</v>
      </c>
      <c r="F83" s="1" t="s">
        <v>209</v>
      </c>
      <c r="G83" s="1" t="s">
        <v>210</v>
      </c>
      <c r="H83" t="s">
        <v>2270</v>
      </c>
      <c r="I83" s="1" t="s">
        <v>24</v>
      </c>
      <c r="J83" s="1" t="s">
        <v>25</v>
      </c>
      <c r="K83" s="1" t="s">
        <v>31</v>
      </c>
      <c r="L83" s="1" t="s">
        <v>91</v>
      </c>
      <c r="M83" s="1" t="s">
        <v>211</v>
      </c>
      <c r="N83" s="1" t="s">
        <v>60</v>
      </c>
      <c r="O83" s="1" t="s">
        <v>2275</v>
      </c>
    </row>
    <row r="84" spans="1:15" x14ac:dyDescent="0.25">
      <c r="A84">
        <v>867</v>
      </c>
      <c r="B84" s="1" t="s">
        <v>27</v>
      </c>
      <c r="C84" s="1" t="str">
        <f t="shared" si="1"/>
        <v>Ontario</v>
      </c>
      <c r="D84" s="1" t="s">
        <v>28</v>
      </c>
      <c r="E84" s="5">
        <v>54</v>
      </c>
      <c r="F84" s="1" t="s">
        <v>32</v>
      </c>
      <c r="G84" s="1" t="s">
        <v>212</v>
      </c>
      <c r="H84" t="s">
        <v>2270</v>
      </c>
      <c r="I84" s="1" t="s">
        <v>43</v>
      </c>
      <c r="J84" s="1" t="s">
        <v>25</v>
      </c>
      <c r="K84" s="1" t="s">
        <v>31</v>
      </c>
      <c r="L84" s="1" t="s">
        <v>32</v>
      </c>
      <c r="M84" s="1" t="s">
        <v>213</v>
      </c>
      <c r="N84" s="1" t="s">
        <v>60</v>
      </c>
      <c r="O84" s="1" t="s">
        <v>2275</v>
      </c>
    </row>
    <row r="85" spans="1:15" x14ac:dyDescent="0.25">
      <c r="A85">
        <v>869</v>
      </c>
      <c r="B85" s="1" t="s">
        <v>27</v>
      </c>
      <c r="C85" s="1" t="str">
        <f t="shared" si="1"/>
        <v>Ontario</v>
      </c>
      <c r="D85" s="1" t="s">
        <v>28</v>
      </c>
      <c r="E85" s="5">
        <v>48</v>
      </c>
      <c r="F85" s="1" t="s">
        <v>32</v>
      </c>
      <c r="G85" s="1" t="s">
        <v>214</v>
      </c>
      <c r="H85" t="s">
        <v>2270</v>
      </c>
      <c r="I85" s="1" t="s">
        <v>24</v>
      </c>
      <c r="J85" s="1" t="s">
        <v>25</v>
      </c>
      <c r="K85" s="1" t="s">
        <v>31</v>
      </c>
      <c r="L85" s="1" t="s">
        <v>91</v>
      </c>
      <c r="M85" s="1" t="s">
        <v>215</v>
      </c>
      <c r="N85" s="1" t="s">
        <v>22</v>
      </c>
      <c r="O85" s="1" t="s">
        <v>2275</v>
      </c>
    </row>
    <row r="86" spans="1:15" x14ac:dyDescent="0.25">
      <c r="A86">
        <v>871</v>
      </c>
      <c r="B86" s="1" t="s">
        <v>27</v>
      </c>
      <c r="C86" s="1" t="str">
        <f t="shared" si="1"/>
        <v>Ontario</v>
      </c>
      <c r="D86" s="1" t="s">
        <v>28</v>
      </c>
      <c r="E86" s="5">
        <v>22</v>
      </c>
      <c r="F86" s="1" t="s">
        <v>216</v>
      </c>
      <c r="G86" s="1" t="s">
        <v>32</v>
      </c>
      <c r="H86" t="s">
        <v>2270</v>
      </c>
      <c r="I86" s="1" t="s">
        <v>64</v>
      </c>
      <c r="J86" s="1" t="s">
        <v>25</v>
      </c>
      <c r="K86" s="1" t="s">
        <v>31</v>
      </c>
      <c r="L86" s="1" t="s">
        <v>91</v>
      </c>
      <c r="M86" s="1" t="s">
        <v>217</v>
      </c>
      <c r="N86" s="1" t="s">
        <v>60</v>
      </c>
      <c r="O86" s="1" t="s">
        <v>2275</v>
      </c>
    </row>
    <row r="87" spans="1:15" x14ac:dyDescent="0.25">
      <c r="A87">
        <v>875</v>
      </c>
      <c r="B87" s="1" t="s">
        <v>57</v>
      </c>
      <c r="C87" s="1" t="str">
        <f t="shared" si="1"/>
        <v>British Columbia</v>
      </c>
      <c r="D87" s="1" t="s">
        <v>14</v>
      </c>
      <c r="E87" s="5">
        <v>47.06</v>
      </c>
      <c r="F87" s="1" t="s">
        <v>32</v>
      </c>
      <c r="G87" s="1" t="s">
        <v>32</v>
      </c>
      <c r="H87" t="s">
        <v>2271</v>
      </c>
      <c r="I87" s="1" t="s">
        <v>17</v>
      </c>
      <c r="J87" s="1" t="s">
        <v>18</v>
      </c>
      <c r="K87" s="1" t="s">
        <v>31</v>
      </c>
      <c r="L87" s="1" t="s">
        <v>32</v>
      </c>
      <c r="M87" s="1" t="s">
        <v>218</v>
      </c>
      <c r="N87" s="1" t="s">
        <v>22</v>
      </c>
      <c r="O87" s="1" t="s">
        <v>2274</v>
      </c>
    </row>
    <row r="88" spans="1:15" x14ac:dyDescent="0.25">
      <c r="A88">
        <v>879</v>
      </c>
      <c r="B88" s="1" t="s">
        <v>57</v>
      </c>
      <c r="C88" s="1" t="str">
        <f t="shared" si="1"/>
        <v>British Columbia</v>
      </c>
      <c r="D88" s="1" t="s">
        <v>14</v>
      </c>
      <c r="E88" s="5">
        <v>38</v>
      </c>
      <c r="F88" s="1" t="s">
        <v>219</v>
      </c>
      <c r="G88" s="1" t="s">
        <v>220</v>
      </c>
      <c r="H88" t="s">
        <v>2271</v>
      </c>
      <c r="I88" s="1" t="s">
        <v>17</v>
      </c>
      <c r="J88" s="1" t="s">
        <v>25</v>
      </c>
      <c r="K88" s="1" t="s">
        <v>107</v>
      </c>
      <c r="L88" s="1" t="s">
        <v>91</v>
      </c>
      <c r="M88" s="1" t="s">
        <v>221</v>
      </c>
      <c r="N88" s="1" t="s">
        <v>60</v>
      </c>
      <c r="O88" s="1" t="s">
        <v>2274</v>
      </c>
    </row>
    <row r="89" spans="1:15" x14ac:dyDescent="0.25">
      <c r="A89">
        <v>885</v>
      </c>
      <c r="B89" s="1" t="s">
        <v>57</v>
      </c>
      <c r="C89" s="1" t="str">
        <f t="shared" si="1"/>
        <v>British Columbia</v>
      </c>
      <c r="D89" s="1" t="s">
        <v>14</v>
      </c>
      <c r="E89" s="5">
        <v>38</v>
      </c>
      <c r="F89" s="1" t="s">
        <v>222</v>
      </c>
      <c r="G89" s="1" t="s">
        <v>32</v>
      </c>
      <c r="H89" t="s">
        <v>2271</v>
      </c>
      <c r="I89" s="1" t="s">
        <v>17</v>
      </c>
      <c r="J89" s="1" t="s">
        <v>25</v>
      </c>
      <c r="K89" s="1" t="s">
        <v>19</v>
      </c>
      <c r="L89" s="1" t="s">
        <v>32</v>
      </c>
      <c r="M89" s="1" t="s">
        <v>223</v>
      </c>
      <c r="N89" s="1" t="s">
        <v>60</v>
      </c>
      <c r="O89" s="1" t="s">
        <v>2274</v>
      </c>
    </row>
    <row r="90" spans="1:15" x14ac:dyDescent="0.25">
      <c r="A90">
        <v>888</v>
      </c>
      <c r="B90" s="1" t="s">
        <v>27</v>
      </c>
      <c r="C90" s="1" t="str">
        <f t="shared" si="1"/>
        <v>Ontario</v>
      </c>
      <c r="D90" s="1" t="s">
        <v>28</v>
      </c>
      <c r="E90" s="5">
        <v>47.06</v>
      </c>
      <c r="F90" s="1" t="s">
        <v>224</v>
      </c>
      <c r="G90" s="1" t="s">
        <v>225</v>
      </c>
      <c r="H90" t="s">
        <v>2270</v>
      </c>
      <c r="I90" s="1" t="s">
        <v>17</v>
      </c>
      <c r="J90" s="1" t="s">
        <v>25</v>
      </c>
      <c r="K90" s="1" t="s">
        <v>31</v>
      </c>
      <c r="L90" s="1" t="s">
        <v>32</v>
      </c>
      <c r="M90" s="1" t="s">
        <v>226</v>
      </c>
      <c r="N90" s="1" t="s">
        <v>22</v>
      </c>
      <c r="O90" s="1" t="s">
        <v>2275</v>
      </c>
    </row>
    <row r="91" spans="1:15" x14ac:dyDescent="0.25">
      <c r="A91">
        <v>889</v>
      </c>
      <c r="B91" s="1" t="s">
        <v>27</v>
      </c>
      <c r="C91" s="1" t="str">
        <f t="shared" si="1"/>
        <v>Ontario</v>
      </c>
      <c r="D91" s="1" t="s">
        <v>73</v>
      </c>
      <c r="E91" s="5">
        <v>56</v>
      </c>
      <c r="F91" s="1" t="s">
        <v>227</v>
      </c>
      <c r="G91" s="1" t="s">
        <v>228</v>
      </c>
      <c r="H91" t="s">
        <v>2270</v>
      </c>
      <c r="I91" s="1" t="s">
        <v>40</v>
      </c>
      <c r="J91" s="1" t="s">
        <v>25</v>
      </c>
      <c r="K91" s="1" t="s">
        <v>31</v>
      </c>
      <c r="L91" s="1" t="s">
        <v>32</v>
      </c>
      <c r="M91" s="1" t="s">
        <v>229</v>
      </c>
      <c r="N91" s="1" t="s">
        <v>22</v>
      </c>
      <c r="O91" s="1" t="s">
        <v>2275</v>
      </c>
    </row>
    <row r="92" spans="1:15" x14ac:dyDescent="0.25">
      <c r="A92">
        <v>890</v>
      </c>
      <c r="B92" s="1" t="s">
        <v>93</v>
      </c>
      <c r="C92" s="1" t="str">
        <f t="shared" si="1"/>
        <v>Alberta</v>
      </c>
      <c r="D92" s="1" t="s">
        <v>28</v>
      </c>
      <c r="E92" s="5">
        <v>55</v>
      </c>
      <c r="F92" s="1" t="s">
        <v>230</v>
      </c>
      <c r="G92" s="1" t="s">
        <v>231</v>
      </c>
      <c r="H92" t="s">
        <v>2270</v>
      </c>
      <c r="I92" s="1" t="s">
        <v>24</v>
      </c>
      <c r="J92" s="1" t="s">
        <v>232</v>
      </c>
      <c r="K92" s="1" t="s">
        <v>31</v>
      </c>
      <c r="L92" s="1" t="s">
        <v>32</v>
      </c>
      <c r="M92" s="1" t="s">
        <v>233</v>
      </c>
      <c r="N92" s="1" t="s">
        <v>22</v>
      </c>
      <c r="O92" s="1" t="s">
        <v>2282</v>
      </c>
    </row>
    <row r="93" spans="1:15" x14ac:dyDescent="0.25">
      <c r="A93">
        <v>891</v>
      </c>
      <c r="B93" s="1" t="s">
        <v>93</v>
      </c>
      <c r="C93" s="1" t="str">
        <f t="shared" si="1"/>
        <v>Alberta</v>
      </c>
      <c r="D93" s="1" t="s">
        <v>28</v>
      </c>
      <c r="E93" s="5">
        <v>26</v>
      </c>
      <c r="F93" s="1" t="s">
        <v>32</v>
      </c>
      <c r="G93" s="1" t="s">
        <v>32</v>
      </c>
      <c r="H93" t="s">
        <v>2270</v>
      </c>
      <c r="I93" s="1" t="s">
        <v>17</v>
      </c>
      <c r="J93" s="1" t="s">
        <v>234</v>
      </c>
      <c r="K93" s="1" t="s">
        <v>31</v>
      </c>
      <c r="L93" s="1" t="s">
        <v>32</v>
      </c>
      <c r="M93" s="1" t="s">
        <v>235</v>
      </c>
      <c r="N93" s="1" t="s">
        <v>60</v>
      </c>
      <c r="O93" s="1" t="s">
        <v>2282</v>
      </c>
    </row>
    <row r="94" spans="1:15" x14ac:dyDescent="0.25">
      <c r="A94">
        <v>893</v>
      </c>
      <c r="B94" s="1" t="s">
        <v>27</v>
      </c>
      <c r="C94" s="1" t="str">
        <f t="shared" si="1"/>
        <v>Ontario</v>
      </c>
      <c r="D94" s="1" t="s">
        <v>28</v>
      </c>
      <c r="E94" s="5">
        <v>20</v>
      </c>
      <c r="F94" s="1" t="s">
        <v>236</v>
      </c>
      <c r="G94" s="1" t="s">
        <v>237</v>
      </c>
      <c r="H94" t="s">
        <v>2270</v>
      </c>
      <c r="I94" s="1" t="s">
        <v>64</v>
      </c>
      <c r="J94" s="1" t="s">
        <v>25</v>
      </c>
      <c r="K94" s="1" t="s">
        <v>31</v>
      </c>
      <c r="L94" s="1" t="s">
        <v>91</v>
      </c>
      <c r="M94" s="1" t="s">
        <v>238</v>
      </c>
      <c r="N94" s="1" t="s">
        <v>22</v>
      </c>
      <c r="O94" s="1" t="s">
        <v>2275</v>
      </c>
    </row>
    <row r="95" spans="1:15" x14ac:dyDescent="0.25">
      <c r="A95">
        <v>902</v>
      </c>
      <c r="B95" s="1" t="s">
        <v>27</v>
      </c>
      <c r="C95" s="1" t="str">
        <f t="shared" si="1"/>
        <v>Ontario</v>
      </c>
      <c r="D95" s="1" t="s">
        <v>28</v>
      </c>
      <c r="E95" s="5">
        <v>92</v>
      </c>
      <c r="F95" s="1" t="s">
        <v>32</v>
      </c>
      <c r="G95" s="1" t="s">
        <v>32</v>
      </c>
      <c r="H95" t="s">
        <v>2270</v>
      </c>
      <c r="I95" s="1" t="s">
        <v>40</v>
      </c>
      <c r="J95" s="1" t="s">
        <v>25</v>
      </c>
      <c r="K95" s="1" t="s">
        <v>31</v>
      </c>
      <c r="L95" s="1" t="s">
        <v>32</v>
      </c>
      <c r="M95" s="1" t="s">
        <v>239</v>
      </c>
      <c r="N95" s="1" t="s">
        <v>22</v>
      </c>
      <c r="O95" s="1" t="s">
        <v>2275</v>
      </c>
    </row>
    <row r="96" spans="1:15" x14ac:dyDescent="0.25">
      <c r="A96">
        <v>906</v>
      </c>
      <c r="B96" s="1" t="s">
        <v>27</v>
      </c>
      <c r="C96" s="1" t="str">
        <f t="shared" si="1"/>
        <v>Ontario</v>
      </c>
      <c r="D96" s="1" t="s">
        <v>28</v>
      </c>
      <c r="E96" s="5">
        <v>52</v>
      </c>
      <c r="F96" s="1" t="s">
        <v>240</v>
      </c>
      <c r="G96" s="1" t="s">
        <v>241</v>
      </c>
      <c r="H96" t="s">
        <v>2270</v>
      </c>
      <c r="I96" s="1" t="s">
        <v>24</v>
      </c>
      <c r="J96" s="1" t="s">
        <v>25</v>
      </c>
      <c r="K96" s="1" t="s">
        <v>31</v>
      </c>
      <c r="L96" s="1" t="s">
        <v>32</v>
      </c>
      <c r="M96" s="1" t="s">
        <v>242</v>
      </c>
      <c r="N96" s="1" t="s">
        <v>22</v>
      </c>
      <c r="O96" s="1" t="s">
        <v>2275</v>
      </c>
    </row>
    <row r="97" spans="1:15" x14ac:dyDescent="0.25">
      <c r="A97">
        <v>915</v>
      </c>
      <c r="B97" s="1" t="s">
        <v>27</v>
      </c>
      <c r="C97" s="1" t="str">
        <f t="shared" si="1"/>
        <v>Ontario</v>
      </c>
      <c r="D97" s="1" t="s">
        <v>28</v>
      </c>
      <c r="E97" s="5">
        <v>45</v>
      </c>
      <c r="F97" s="1" t="s">
        <v>243</v>
      </c>
      <c r="G97" s="1" t="s">
        <v>32</v>
      </c>
      <c r="H97" t="s">
        <v>2270</v>
      </c>
      <c r="I97" s="1" t="s">
        <v>17</v>
      </c>
      <c r="J97" s="1" t="s">
        <v>25</v>
      </c>
      <c r="K97" s="1" t="s">
        <v>31</v>
      </c>
      <c r="L97" s="1" t="s">
        <v>32</v>
      </c>
      <c r="M97" s="1" t="s">
        <v>244</v>
      </c>
      <c r="N97" s="1" t="s">
        <v>22</v>
      </c>
      <c r="O97" s="1" t="s">
        <v>2275</v>
      </c>
    </row>
    <row r="98" spans="1:15" x14ac:dyDescent="0.25">
      <c r="A98">
        <v>916</v>
      </c>
      <c r="B98" s="1" t="s">
        <v>27</v>
      </c>
      <c r="C98" s="1" t="str">
        <f t="shared" si="1"/>
        <v>Ontario</v>
      </c>
      <c r="D98" s="1" t="s">
        <v>28</v>
      </c>
      <c r="E98" s="5">
        <v>74</v>
      </c>
      <c r="F98" s="1" t="s">
        <v>245</v>
      </c>
      <c r="G98" s="1" t="s">
        <v>32</v>
      </c>
      <c r="H98" t="s">
        <v>2270</v>
      </c>
      <c r="I98" s="1" t="s">
        <v>40</v>
      </c>
      <c r="J98" s="1" t="s">
        <v>25</v>
      </c>
      <c r="K98" s="1" t="s">
        <v>31</v>
      </c>
      <c r="L98" s="1" t="s">
        <v>91</v>
      </c>
      <c r="M98" s="1" t="s">
        <v>246</v>
      </c>
      <c r="N98" s="1" t="s">
        <v>22</v>
      </c>
      <c r="O98" s="1" t="s">
        <v>2275</v>
      </c>
    </row>
    <row r="99" spans="1:15" x14ac:dyDescent="0.25">
      <c r="A99">
        <v>922</v>
      </c>
      <c r="B99" s="1" t="s">
        <v>57</v>
      </c>
      <c r="C99" s="1" t="str">
        <f t="shared" si="1"/>
        <v>British Columbia</v>
      </c>
      <c r="D99" s="1" t="s">
        <v>14</v>
      </c>
      <c r="E99" s="5">
        <v>60</v>
      </c>
      <c r="F99" s="1" t="s">
        <v>247</v>
      </c>
      <c r="G99" s="1" t="s">
        <v>248</v>
      </c>
      <c r="H99" t="s">
        <v>2270</v>
      </c>
      <c r="I99" s="1" t="s">
        <v>43</v>
      </c>
      <c r="J99" s="1" t="s">
        <v>44</v>
      </c>
      <c r="K99" s="1" t="s">
        <v>31</v>
      </c>
      <c r="L99" s="1" t="s">
        <v>32</v>
      </c>
      <c r="M99" s="1" t="s">
        <v>249</v>
      </c>
      <c r="N99" s="1" t="s">
        <v>22</v>
      </c>
      <c r="O99" s="1" t="s">
        <v>2274</v>
      </c>
    </row>
    <row r="100" spans="1:15" x14ac:dyDescent="0.25">
      <c r="A100">
        <v>923</v>
      </c>
      <c r="B100" s="1" t="s">
        <v>57</v>
      </c>
      <c r="C100" s="1" t="str">
        <f t="shared" si="1"/>
        <v>British Columbia</v>
      </c>
      <c r="D100" s="1" t="s">
        <v>14</v>
      </c>
      <c r="E100" s="5">
        <v>55</v>
      </c>
      <c r="F100" s="1" t="s">
        <v>250</v>
      </c>
      <c r="G100" s="1" t="s">
        <v>32</v>
      </c>
      <c r="H100" t="s">
        <v>2271</v>
      </c>
      <c r="I100" s="1" t="s">
        <v>40</v>
      </c>
      <c r="J100" s="1" t="s">
        <v>25</v>
      </c>
      <c r="K100" s="1" t="s">
        <v>107</v>
      </c>
      <c r="L100" s="1" t="s">
        <v>32</v>
      </c>
      <c r="M100" s="1" t="s">
        <v>251</v>
      </c>
      <c r="N100" s="1" t="s">
        <v>22</v>
      </c>
      <c r="O100" s="1" t="s">
        <v>2274</v>
      </c>
    </row>
    <row r="101" spans="1:15" x14ac:dyDescent="0.25">
      <c r="A101">
        <v>928</v>
      </c>
      <c r="B101" s="1" t="s">
        <v>27</v>
      </c>
      <c r="C101" s="1" t="str">
        <f t="shared" si="1"/>
        <v>Ontario</v>
      </c>
      <c r="D101" s="1" t="s">
        <v>28</v>
      </c>
      <c r="E101" s="5">
        <v>31</v>
      </c>
      <c r="F101" s="1" t="s">
        <v>252</v>
      </c>
      <c r="G101" s="1" t="s">
        <v>253</v>
      </c>
      <c r="H101" t="s">
        <v>2270</v>
      </c>
      <c r="I101" s="1" t="s">
        <v>64</v>
      </c>
      <c r="J101" s="1" t="s">
        <v>25</v>
      </c>
      <c r="K101" s="1" t="s">
        <v>31</v>
      </c>
      <c r="L101" s="1" t="s">
        <v>91</v>
      </c>
      <c r="M101" s="1" t="s">
        <v>254</v>
      </c>
      <c r="N101" s="1" t="s">
        <v>60</v>
      </c>
      <c r="O101" s="1" t="s">
        <v>2275</v>
      </c>
    </row>
    <row r="102" spans="1:15" x14ac:dyDescent="0.25">
      <c r="A102">
        <v>929</v>
      </c>
      <c r="B102" s="1" t="s">
        <v>27</v>
      </c>
      <c r="C102" s="1" t="str">
        <f t="shared" si="1"/>
        <v>Ontario</v>
      </c>
      <c r="D102" s="1" t="s">
        <v>28</v>
      </c>
      <c r="E102" s="5">
        <v>52</v>
      </c>
      <c r="F102" s="1" t="s">
        <v>32</v>
      </c>
      <c r="G102" s="1" t="s">
        <v>255</v>
      </c>
      <c r="H102" t="s">
        <v>2270</v>
      </c>
      <c r="I102" s="1" t="s">
        <v>24</v>
      </c>
      <c r="J102" s="1" t="s">
        <v>25</v>
      </c>
      <c r="K102" s="1" t="s">
        <v>31</v>
      </c>
      <c r="L102" s="1" t="s">
        <v>32</v>
      </c>
      <c r="M102" s="1" t="s">
        <v>256</v>
      </c>
      <c r="N102" s="1" t="s">
        <v>22</v>
      </c>
      <c r="O102" s="1" t="s">
        <v>2275</v>
      </c>
    </row>
    <row r="103" spans="1:15" x14ac:dyDescent="0.25">
      <c r="A103">
        <v>930</v>
      </c>
      <c r="B103" s="1" t="s">
        <v>27</v>
      </c>
      <c r="C103" s="1" t="str">
        <f t="shared" si="1"/>
        <v>Ontario</v>
      </c>
      <c r="D103" s="1" t="s">
        <v>28</v>
      </c>
      <c r="E103" s="5">
        <v>45</v>
      </c>
      <c r="F103" s="1" t="s">
        <v>257</v>
      </c>
      <c r="G103" s="1" t="s">
        <v>32</v>
      </c>
      <c r="H103" t="s">
        <v>2270</v>
      </c>
      <c r="I103" s="1" t="s">
        <v>17</v>
      </c>
      <c r="J103" s="1" t="s">
        <v>25</v>
      </c>
      <c r="K103" s="1" t="s">
        <v>31</v>
      </c>
      <c r="L103" s="1" t="s">
        <v>32</v>
      </c>
      <c r="M103" s="1" t="s">
        <v>258</v>
      </c>
      <c r="N103" s="1" t="s">
        <v>22</v>
      </c>
      <c r="O103" s="1" t="s">
        <v>2275</v>
      </c>
    </row>
    <row r="104" spans="1:15" x14ac:dyDescent="0.25">
      <c r="A104">
        <v>931</v>
      </c>
      <c r="B104" s="1" t="s">
        <v>27</v>
      </c>
      <c r="C104" s="1" t="str">
        <f t="shared" si="1"/>
        <v>Ontario</v>
      </c>
      <c r="D104" s="1" t="s">
        <v>28</v>
      </c>
      <c r="E104" s="5">
        <v>62</v>
      </c>
      <c r="F104" s="1" t="s">
        <v>32</v>
      </c>
      <c r="G104" s="1" t="s">
        <v>32</v>
      </c>
      <c r="H104" t="s">
        <v>2270</v>
      </c>
      <c r="I104" s="1" t="s">
        <v>40</v>
      </c>
      <c r="J104" s="1" t="s">
        <v>25</v>
      </c>
      <c r="K104" s="1" t="s">
        <v>31</v>
      </c>
      <c r="L104" s="1" t="s">
        <v>91</v>
      </c>
      <c r="M104" s="1" t="s">
        <v>259</v>
      </c>
      <c r="N104" s="1" t="s">
        <v>22</v>
      </c>
      <c r="O104" s="1" t="s">
        <v>2275</v>
      </c>
    </row>
    <row r="105" spans="1:15" x14ac:dyDescent="0.25">
      <c r="A105">
        <v>932</v>
      </c>
      <c r="B105" s="1" t="s">
        <v>27</v>
      </c>
      <c r="C105" s="1" t="str">
        <f t="shared" si="1"/>
        <v>Ontario</v>
      </c>
      <c r="D105" s="1" t="s">
        <v>28</v>
      </c>
      <c r="E105" s="5">
        <v>45</v>
      </c>
      <c r="F105" s="1" t="s">
        <v>32</v>
      </c>
      <c r="G105" s="1" t="s">
        <v>32</v>
      </c>
      <c r="H105" t="s">
        <v>2270</v>
      </c>
      <c r="I105" s="1" t="s">
        <v>24</v>
      </c>
      <c r="J105" s="1" t="s">
        <v>25</v>
      </c>
      <c r="K105" s="1" t="s">
        <v>31</v>
      </c>
      <c r="L105" s="1" t="s">
        <v>32</v>
      </c>
      <c r="M105" s="1" t="s">
        <v>260</v>
      </c>
      <c r="N105" s="1" t="s">
        <v>22</v>
      </c>
      <c r="O105" s="1" t="s">
        <v>2275</v>
      </c>
    </row>
    <row r="106" spans="1:15" x14ac:dyDescent="0.25">
      <c r="A106">
        <v>933</v>
      </c>
      <c r="B106" s="1" t="s">
        <v>27</v>
      </c>
      <c r="C106" s="1" t="str">
        <f t="shared" si="1"/>
        <v>Ontario</v>
      </c>
      <c r="D106" s="1" t="s">
        <v>28</v>
      </c>
      <c r="E106" s="5">
        <v>52</v>
      </c>
      <c r="F106" s="1" t="s">
        <v>32</v>
      </c>
      <c r="G106" s="1" t="s">
        <v>261</v>
      </c>
      <c r="H106" t="s">
        <v>2270</v>
      </c>
      <c r="I106" s="1" t="s">
        <v>40</v>
      </c>
      <c r="J106" s="1" t="s">
        <v>25</v>
      </c>
      <c r="K106" s="1" t="s">
        <v>31</v>
      </c>
      <c r="L106" s="1" t="s">
        <v>32</v>
      </c>
      <c r="M106" s="1" t="s">
        <v>262</v>
      </c>
      <c r="N106" s="1" t="s">
        <v>22</v>
      </c>
      <c r="O106" s="1" t="s">
        <v>2275</v>
      </c>
    </row>
    <row r="107" spans="1:15" x14ac:dyDescent="0.25">
      <c r="A107">
        <v>934</v>
      </c>
      <c r="B107" s="1" t="s">
        <v>27</v>
      </c>
      <c r="C107" s="1" t="str">
        <f t="shared" si="1"/>
        <v>Ontario</v>
      </c>
      <c r="D107" s="1" t="s">
        <v>28</v>
      </c>
      <c r="E107" s="5">
        <v>70</v>
      </c>
      <c r="F107" s="1" t="s">
        <v>32</v>
      </c>
      <c r="G107" s="1" t="s">
        <v>263</v>
      </c>
      <c r="H107" t="s">
        <v>2270</v>
      </c>
      <c r="I107" s="1" t="s">
        <v>40</v>
      </c>
      <c r="J107" s="1" t="s">
        <v>44</v>
      </c>
      <c r="K107" s="1" t="s">
        <v>31</v>
      </c>
      <c r="L107" s="1" t="s">
        <v>32</v>
      </c>
      <c r="M107" s="1" t="s">
        <v>264</v>
      </c>
      <c r="N107" s="1" t="s">
        <v>22</v>
      </c>
      <c r="O107" s="1" t="s">
        <v>2275</v>
      </c>
    </row>
    <row r="108" spans="1:15" x14ac:dyDescent="0.25">
      <c r="A108">
        <v>936</v>
      </c>
      <c r="B108" s="1" t="s">
        <v>27</v>
      </c>
      <c r="C108" s="1" t="str">
        <f t="shared" si="1"/>
        <v>Ontario</v>
      </c>
      <c r="D108" s="1" t="s">
        <v>28</v>
      </c>
      <c r="E108" s="5">
        <v>40</v>
      </c>
      <c r="F108" s="1" t="s">
        <v>265</v>
      </c>
      <c r="G108" s="1" t="s">
        <v>266</v>
      </c>
      <c r="H108" t="s">
        <v>2270</v>
      </c>
      <c r="I108" s="1" t="s">
        <v>24</v>
      </c>
      <c r="J108" s="1" t="s">
        <v>25</v>
      </c>
      <c r="K108" s="1" t="s">
        <v>31</v>
      </c>
      <c r="L108" s="1" t="s">
        <v>32</v>
      </c>
      <c r="M108" s="1" t="s">
        <v>267</v>
      </c>
      <c r="N108" s="1" t="s">
        <v>60</v>
      </c>
      <c r="O108" s="1" t="s">
        <v>2275</v>
      </c>
    </row>
    <row r="109" spans="1:15" x14ac:dyDescent="0.25">
      <c r="A109">
        <v>937</v>
      </c>
      <c r="B109" s="1" t="s">
        <v>27</v>
      </c>
      <c r="C109" s="1" t="str">
        <f t="shared" si="1"/>
        <v>Ontario</v>
      </c>
      <c r="D109" s="1" t="s">
        <v>28</v>
      </c>
      <c r="E109" s="5">
        <v>40</v>
      </c>
      <c r="F109" s="1" t="s">
        <v>268</v>
      </c>
      <c r="G109" s="1" t="s">
        <v>269</v>
      </c>
      <c r="H109" t="s">
        <v>2270</v>
      </c>
      <c r="I109" s="1" t="s">
        <v>24</v>
      </c>
      <c r="J109" s="1" t="s">
        <v>25</v>
      </c>
      <c r="K109" s="1" t="s">
        <v>31</v>
      </c>
      <c r="L109" s="1" t="s">
        <v>32</v>
      </c>
      <c r="M109" s="1" t="s">
        <v>270</v>
      </c>
      <c r="N109" s="1" t="s">
        <v>22</v>
      </c>
      <c r="O109" s="1" t="s">
        <v>2275</v>
      </c>
    </row>
    <row r="110" spans="1:15" x14ac:dyDescent="0.25">
      <c r="A110">
        <v>938</v>
      </c>
      <c r="B110" s="1" t="s">
        <v>27</v>
      </c>
      <c r="C110" s="1" t="str">
        <f t="shared" si="1"/>
        <v>Ontario</v>
      </c>
      <c r="D110" s="1" t="s">
        <v>28</v>
      </c>
      <c r="E110" s="5">
        <v>40</v>
      </c>
      <c r="F110" s="1" t="s">
        <v>271</v>
      </c>
      <c r="G110" s="1" t="s">
        <v>32</v>
      </c>
      <c r="H110" t="s">
        <v>2270</v>
      </c>
      <c r="I110" s="1" t="s">
        <v>24</v>
      </c>
      <c r="J110" s="1" t="s">
        <v>44</v>
      </c>
      <c r="K110" s="1" t="s">
        <v>31</v>
      </c>
      <c r="L110" s="1" t="s">
        <v>20</v>
      </c>
      <c r="M110" s="1" t="s">
        <v>272</v>
      </c>
      <c r="N110" s="1" t="s">
        <v>60</v>
      </c>
      <c r="O110" s="1" t="s">
        <v>2275</v>
      </c>
    </row>
    <row r="111" spans="1:15" x14ac:dyDescent="0.25">
      <c r="A111">
        <v>939</v>
      </c>
      <c r="B111" s="1" t="s">
        <v>27</v>
      </c>
      <c r="C111" s="1" t="str">
        <f t="shared" si="1"/>
        <v>Ontario</v>
      </c>
      <c r="D111" s="1" t="s">
        <v>28</v>
      </c>
      <c r="E111" s="5">
        <v>50</v>
      </c>
      <c r="F111" s="1" t="s">
        <v>273</v>
      </c>
      <c r="G111" s="1" t="s">
        <v>32</v>
      </c>
      <c r="H111" t="s">
        <v>2270</v>
      </c>
      <c r="I111" s="1" t="s">
        <v>24</v>
      </c>
      <c r="J111" s="1" t="s">
        <v>25</v>
      </c>
      <c r="K111" s="1" t="s">
        <v>31</v>
      </c>
      <c r="L111" s="1" t="s">
        <v>32</v>
      </c>
      <c r="M111" s="1" t="s">
        <v>274</v>
      </c>
      <c r="N111" s="1" t="s">
        <v>22</v>
      </c>
      <c r="O111" s="1" t="s">
        <v>2275</v>
      </c>
    </row>
    <row r="112" spans="1:15" x14ac:dyDescent="0.25">
      <c r="A112">
        <v>940</v>
      </c>
      <c r="B112" s="1" t="s">
        <v>27</v>
      </c>
      <c r="C112" s="1" t="str">
        <f t="shared" si="1"/>
        <v>Ontario</v>
      </c>
      <c r="D112" s="1" t="s">
        <v>28</v>
      </c>
      <c r="E112" s="5">
        <v>52</v>
      </c>
      <c r="F112" s="1" t="s">
        <v>275</v>
      </c>
      <c r="G112" s="1" t="s">
        <v>276</v>
      </c>
      <c r="H112" t="s">
        <v>2270</v>
      </c>
      <c r="I112" s="1" t="s">
        <v>24</v>
      </c>
      <c r="J112" s="1" t="s">
        <v>25</v>
      </c>
      <c r="K112" s="1" t="s">
        <v>31</v>
      </c>
      <c r="L112" s="1" t="s">
        <v>32</v>
      </c>
      <c r="M112" s="1" t="s">
        <v>277</v>
      </c>
      <c r="N112" s="1" t="s">
        <v>22</v>
      </c>
      <c r="O112" s="1" t="s">
        <v>2275</v>
      </c>
    </row>
    <row r="113" spans="1:15" x14ac:dyDescent="0.25">
      <c r="A113">
        <v>946</v>
      </c>
      <c r="B113" s="1" t="s">
        <v>27</v>
      </c>
      <c r="C113" s="1" t="str">
        <f t="shared" si="1"/>
        <v>Ontario</v>
      </c>
      <c r="D113" s="1" t="s">
        <v>28</v>
      </c>
      <c r="E113" s="5">
        <v>27</v>
      </c>
      <c r="F113" s="1" t="s">
        <v>278</v>
      </c>
      <c r="G113" s="1" t="s">
        <v>279</v>
      </c>
      <c r="H113" t="s">
        <v>2270</v>
      </c>
      <c r="I113" s="1" t="s">
        <v>43</v>
      </c>
      <c r="J113" s="1" t="s">
        <v>25</v>
      </c>
      <c r="K113" s="1" t="s">
        <v>31</v>
      </c>
      <c r="L113" s="1" t="s">
        <v>91</v>
      </c>
      <c r="M113" s="1" t="s">
        <v>280</v>
      </c>
      <c r="N113" s="1" t="s">
        <v>60</v>
      </c>
      <c r="O113" s="1" t="s">
        <v>2275</v>
      </c>
    </row>
    <row r="114" spans="1:15" x14ac:dyDescent="0.25">
      <c r="A114">
        <v>947</v>
      </c>
      <c r="B114" s="1" t="s">
        <v>27</v>
      </c>
      <c r="C114" s="1" t="str">
        <f t="shared" si="1"/>
        <v>Ontario</v>
      </c>
      <c r="D114" s="1" t="s">
        <v>28</v>
      </c>
      <c r="E114" s="5">
        <v>41</v>
      </c>
      <c r="F114" s="1" t="s">
        <v>281</v>
      </c>
      <c r="G114" s="1" t="s">
        <v>282</v>
      </c>
      <c r="H114" t="s">
        <v>2270</v>
      </c>
      <c r="I114" s="1" t="s">
        <v>17</v>
      </c>
      <c r="J114" s="1" t="s">
        <v>25</v>
      </c>
      <c r="K114" s="1" t="s">
        <v>31</v>
      </c>
      <c r="L114" s="1" t="s">
        <v>91</v>
      </c>
      <c r="M114" s="1" t="s">
        <v>283</v>
      </c>
      <c r="N114" s="1" t="s">
        <v>60</v>
      </c>
      <c r="O114" s="1" t="s">
        <v>2275</v>
      </c>
    </row>
    <row r="115" spans="1:15" x14ac:dyDescent="0.25">
      <c r="A115">
        <v>951</v>
      </c>
      <c r="B115" s="1" t="s">
        <v>27</v>
      </c>
      <c r="C115" s="1" t="str">
        <f t="shared" si="1"/>
        <v>Ontario</v>
      </c>
      <c r="D115" s="1" t="s">
        <v>28</v>
      </c>
      <c r="E115" s="5">
        <v>52</v>
      </c>
      <c r="F115" s="1" t="s">
        <v>32</v>
      </c>
      <c r="G115" s="1" t="s">
        <v>284</v>
      </c>
      <c r="H115" t="s">
        <v>2270</v>
      </c>
      <c r="I115" s="1" t="s">
        <v>43</v>
      </c>
      <c r="J115" s="1" t="s">
        <v>25</v>
      </c>
      <c r="K115" s="1" t="s">
        <v>31</v>
      </c>
      <c r="L115" s="1" t="s">
        <v>32</v>
      </c>
      <c r="M115" s="1" t="s">
        <v>285</v>
      </c>
      <c r="N115" s="1" t="s">
        <v>22</v>
      </c>
      <c r="O115" s="1" t="s">
        <v>2275</v>
      </c>
    </row>
    <row r="116" spans="1:15" x14ac:dyDescent="0.25">
      <c r="A116">
        <v>953</v>
      </c>
      <c r="B116" s="1" t="s">
        <v>27</v>
      </c>
      <c r="C116" s="1" t="str">
        <f t="shared" si="1"/>
        <v>Ontario</v>
      </c>
      <c r="D116" s="1" t="s">
        <v>28</v>
      </c>
      <c r="E116" s="5">
        <v>45</v>
      </c>
      <c r="F116" s="1" t="s">
        <v>32</v>
      </c>
      <c r="G116" s="1" t="s">
        <v>32</v>
      </c>
      <c r="H116" t="s">
        <v>2271</v>
      </c>
      <c r="I116" s="1" t="s">
        <v>17</v>
      </c>
      <c r="J116" s="1" t="s">
        <v>25</v>
      </c>
      <c r="K116" s="1" t="s">
        <v>31</v>
      </c>
      <c r="L116" s="1" t="s">
        <v>32</v>
      </c>
      <c r="M116" s="1" t="s">
        <v>286</v>
      </c>
      <c r="N116" s="1" t="s">
        <v>22</v>
      </c>
      <c r="O116" s="1" t="s">
        <v>2275</v>
      </c>
    </row>
    <row r="117" spans="1:15" x14ac:dyDescent="0.25">
      <c r="A117">
        <v>954</v>
      </c>
      <c r="B117" s="1" t="s">
        <v>27</v>
      </c>
      <c r="C117" s="1" t="str">
        <f t="shared" si="1"/>
        <v>Ontario</v>
      </c>
      <c r="D117" s="1" t="s">
        <v>28</v>
      </c>
      <c r="E117" s="5">
        <v>39</v>
      </c>
      <c r="F117" s="1" t="s">
        <v>32</v>
      </c>
      <c r="G117" s="1" t="s">
        <v>32</v>
      </c>
      <c r="H117" t="s">
        <v>2270</v>
      </c>
      <c r="I117" s="1" t="s">
        <v>17</v>
      </c>
      <c r="J117" s="1" t="s">
        <v>25</v>
      </c>
      <c r="K117" s="1" t="s">
        <v>31</v>
      </c>
      <c r="L117" s="1" t="s">
        <v>32</v>
      </c>
      <c r="M117" s="1" t="s">
        <v>287</v>
      </c>
      <c r="N117" s="1" t="s">
        <v>22</v>
      </c>
      <c r="O117" s="1" t="s">
        <v>2275</v>
      </c>
    </row>
    <row r="118" spans="1:15" x14ac:dyDescent="0.25">
      <c r="A118">
        <v>962</v>
      </c>
      <c r="B118" s="1" t="s">
        <v>27</v>
      </c>
      <c r="C118" s="1" t="str">
        <f t="shared" si="1"/>
        <v>Ontario</v>
      </c>
      <c r="D118" s="1" t="s">
        <v>28</v>
      </c>
      <c r="E118" s="5">
        <v>57</v>
      </c>
      <c r="F118" s="1" t="s">
        <v>32</v>
      </c>
      <c r="G118" s="1" t="s">
        <v>32</v>
      </c>
      <c r="H118" t="s">
        <v>2270</v>
      </c>
      <c r="I118" s="1" t="s">
        <v>24</v>
      </c>
      <c r="J118" s="1" t="s">
        <v>25</v>
      </c>
      <c r="K118" s="1" t="s">
        <v>31</v>
      </c>
      <c r="L118" s="1" t="s">
        <v>32</v>
      </c>
      <c r="M118" s="1" t="s">
        <v>288</v>
      </c>
      <c r="N118" s="1" t="s">
        <v>22</v>
      </c>
      <c r="O118" s="1" t="s">
        <v>2275</v>
      </c>
    </row>
    <row r="119" spans="1:15" x14ac:dyDescent="0.25">
      <c r="A119">
        <v>966</v>
      </c>
      <c r="B119" s="1" t="s">
        <v>27</v>
      </c>
      <c r="C119" s="1" t="str">
        <f t="shared" si="1"/>
        <v>Ontario</v>
      </c>
      <c r="D119" s="1" t="s">
        <v>28</v>
      </c>
      <c r="E119" s="5">
        <v>62</v>
      </c>
      <c r="F119" s="1" t="s">
        <v>32</v>
      </c>
      <c r="G119" s="1" t="s">
        <v>32</v>
      </c>
      <c r="H119" t="s">
        <v>2270</v>
      </c>
      <c r="I119" s="1" t="s">
        <v>43</v>
      </c>
      <c r="J119" s="1" t="s">
        <v>25</v>
      </c>
      <c r="K119" s="1" t="s">
        <v>31</v>
      </c>
      <c r="L119" s="1" t="s">
        <v>32</v>
      </c>
      <c r="M119" s="1" t="s">
        <v>289</v>
      </c>
      <c r="N119" s="1" t="s">
        <v>22</v>
      </c>
      <c r="O119" s="1" t="s">
        <v>2275</v>
      </c>
    </row>
    <row r="120" spans="1:15" x14ac:dyDescent="0.25">
      <c r="A120">
        <v>967</v>
      </c>
      <c r="B120" s="1" t="s">
        <v>27</v>
      </c>
      <c r="C120" s="1" t="str">
        <f t="shared" si="1"/>
        <v>Ontario</v>
      </c>
      <c r="D120" s="1" t="s">
        <v>28</v>
      </c>
      <c r="E120" s="5">
        <v>47.06</v>
      </c>
      <c r="F120" s="1" t="s">
        <v>32</v>
      </c>
      <c r="G120" s="1" t="s">
        <v>32</v>
      </c>
      <c r="H120" t="s">
        <v>2270</v>
      </c>
      <c r="I120" s="1" t="s">
        <v>24</v>
      </c>
      <c r="J120" s="1" t="s">
        <v>25</v>
      </c>
      <c r="K120" s="1" t="s">
        <v>31</v>
      </c>
      <c r="L120" s="1" t="s">
        <v>32</v>
      </c>
      <c r="M120" s="1" t="s">
        <v>290</v>
      </c>
      <c r="N120" s="1" t="s">
        <v>22</v>
      </c>
      <c r="O120" s="1" t="s">
        <v>2275</v>
      </c>
    </row>
    <row r="121" spans="1:15" x14ac:dyDescent="0.25">
      <c r="A121">
        <v>968</v>
      </c>
      <c r="B121" s="1" t="s">
        <v>27</v>
      </c>
      <c r="C121" s="1" t="str">
        <f t="shared" si="1"/>
        <v>Ontario</v>
      </c>
      <c r="D121" s="1" t="s">
        <v>28</v>
      </c>
      <c r="E121" s="5">
        <v>42</v>
      </c>
      <c r="F121" s="1" t="s">
        <v>291</v>
      </c>
      <c r="G121" s="1" t="s">
        <v>292</v>
      </c>
      <c r="H121" t="s">
        <v>2270</v>
      </c>
      <c r="I121" s="1" t="s">
        <v>17</v>
      </c>
      <c r="J121" s="1" t="s">
        <v>25</v>
      </c>
      <c r="K121" s="1" t="s">
        <v>31</v>
      </c>
      <c r="L121" s="1" t="s">
        <v>91</v>
      </c>
      <c r="M121" s="1" t="s">
        <v>293</v>
      </c>
      <c r="N121" s="1" t="s">
        <v>22</v>
      </c>
      <c r="O121" s="1" t="s">
        <v>2275</v>
      </c>
    </row>
    <row r="122" spans="1:15" x14ac:dyDescent="0.25">
      <c r="A122">
        <v>971</v>
      </c>
      <c r="B122" s="1" t="s">
        <v>27</v>
      </c>
      <c r="C122" s="1" t="str">
        <f t="shared" si="1"/>
        <v>Ontario</v>
      </c>
      <c r="D122" s="1" t="s">
        <v>28</v>
      </c>
      <c r="E122" s="5">
        <v>52</v>
      </c>
      <c r="F122" s="1" t="s">
        <v>32</v>
      </c>
      <c r="G122" s="1" t="s">
        <v>32</v>
      </c>
      <c r="H122" t="s">
        <v>2270</v>
      </c>
      <c r="I122" s="1" t="s">
        <v>24</v>
      </c>
      <c r="J122" s="1" t="s">
        <v>25</v>
      </c>
      <c r="K122" s="1" t="s">
        <v>31</v>
      </c>
      <c r="L122" s="1" t="s">
        <v>91</v>
      </c>
      <c r="M122" s="1" t="s">
        <v>294</v>
      </c>
      <c r="N122" s="1" t="s">
        <v>22</v>
      </c>
      <c r="O122" s="1" t="s">
        <v>2275</v>
      </c>
    </row>
    <row r="123" spans="1:15" x14ac:dyDescent="0.25">
      <c r="A123">
        <v>975</v>
      </c>
      <c r="B123" s="1" t="s">
        <v>27</v>
      </c>
      <c r="C123" s="1" t="str">
        <f t="shared" si="1"/>
        <v>Ontario</v>
      </c>
      <c r="D123" s="1" t="s">
        <v>28</v>
      </c>
      <c r="E123" s="5">
        <v>34</v>
      </c>
      <c r="F123" s="1" t="s">
        <v>295</v>
      </c>
      <c r="G123" s="1" t="s">
        <v>296</v>
      </c>
      <c r="H123" t="s">
        <v>2270</v>
      </c>
      <c r="I123" s="1" t="s">
        <v>64</v>
      </c>
      <c r="J123" s="1" t="s">
        <v>25</v>
      </c>
      <c r="K123" s="1" t="s">
        <v>31</v>
      </c>
      <c r="L123" s="1" t="s">
        <v>32</v>
      </c>
      <c r="M123" s="1" t="s">
        <v>297</v>
      </c>
      <c r="N123" s="1" t="s">
        <v>22</v>
      </c>
      <c r="O123" s="1" t="s">
        <v>2275</v>
      </c>
    </row>
    <row r="124" spans="1:15" x14ac:dyDescent="0.25">
      <c r="A124">
        <v>988</v>
      </c>
      <c r="B124" s="1" t="s">
        <v>27</v>
      </c>
      <c r="C124" s="1" t="str">
        <f t="shared" si="1"/>
        <v>Ontario</v>
      </c>
      <c r="D124" s="1" t="s">
        <v>28</v>
      </c>
      <c r="E124" s="5">
        <v>38</v>
      </c>
      <c r="F124" s="1" t="s">
        <v>32</v>
      </c>
      <c r="G124" s="1" t="s">
        <v>32</v>
      </c>
      <c r="H124" t="s">
        <v>2270</v>
      </c>
      <c r="I124" s="1" t="s">
        <v>40</v>
      </c>
      <c r="J124" s="1" t="s">
        <v>232</v>
      </c>
      <c r="K124" s="1" t="s">
        <v>31</v>
      </c>
      <c r="L124" s="1" t="s">
        <v>91</v>
      </c>
      <c r="M124" s="1" t="s">
        <v>298</v>
      </c>
      <c r="N124" s="1" t="s">
        <v>22</v>
      </c>
      <c r="O124" s="1" t="s">
        <v>2275</v>
      </c>
    </row>
    <row r="125" spans="1:15" x14ac:dyDescent="0.25">
      <c r="A125">
        <v>990</v>
      </c>
      <c r="B125" s="1" t="s">
        <v>27</v>
      </c>
      <c r="C125" s="1" t="str">
        <f t="shared" si="1"/>
        <v>Ontario</v>
      </c>
      <c r="D125" s="1" t="s">
        <v>73</v>
      </c>
      <c r="E125" s="5">
        <v>80</v>
      </c>
      <c r="F125" s="1" t="s">
        <v>32</v>
      </c>
      <c r="G125" s="1" t="s">
        <v>299</v>
      </c>
      <c r="H125" t="s">
        <v>2270</v>
      </c>
      <c r="I125" s="1" t="s">
        <v>40</v>
      </c>
      <c r="J125" s="1" t="s">
        <v>18</v>
      </c>
      <c r="K125" s="1" t="s">
        <v>31</v>
      </c>
      <c r="L125" s="1" t="s">
        <v>91</v>
      </c>
      <c r="M125" s="1" t="s">
        <v>300</v>
      </c>
      <c r="N125" s="1" t="s">
        <v>22</v>
      </c>
      <c r="O125" s="1" t="s">
        <v>2275</v>
      </c>
    </row>
    <row r="126" spans="1:15" x14ac:dyDescent="0.25">
      <c r="A126">
        <v>993</v>
      </c>
      <c r="B126" s="1" t="s">
        <v>27</v>
      </c>
      <c r="C126" s="1" t="str">
        <f t="shared" si="1"/>
        <v>Ontario</v>
      </c>
      <c r="D126" s="1" t="s">
        <v>73</v>
      </c>
      <c r="E126" s="5">
        <v>55</v>
      </c>
      <c r="F126" s="1" t="s">
        <v>32</v>
      </c>
      <c r="G126" s="1" t="s">
        <v>32</v>
      </c>
      <c r="H126" t="s">
        <v>2270</v>
      </c>
      <c r="I126" s="1" t="s">
        <v>24</v>
      </c>
      <c r="J126" s="1" t="s">
        <v>18</v>
      </c>
      <c r="K126" s="1" t="s">
        <v>31</v>
      </c>
      <c r="L126" s="1" t="s">
        <v>91</v>
      </c>
      <c r="M126" s="1" t="s">
        <v>301</v>
      </c>
      <c r="N126" s="1" t="s">
        <v>22</v>
      </c>
      <c r="O126" s="1" t="s">
        <v>2275</v>
      </c>
    </row>
    <row r="127" spans="1:15" x14ac:dyDescent="0.25">
      <c r="A127">
        <v>995</v>
      </c>
      <c r="B127" s="1" t="s">
        <v>27</v>
      </c>
      <c r="C127" s="1" t="str">
        <f t="shared" si="1"/>
        <v>Ontario</v>
      </c>
      <c r="D127" s="1" t="s">
        <v>73</v>
      </c>
      <c r="E127" s="5">
        <v>68</v>
      </c>
      <c r="F127" s="1" t="s">
        <v>32</v>
      </c>
      <c r="G127" s="1" t="s">
        <v>32</v>
      </c>
      <c r="H127" t="s">
        <v>2270</v>
      </c>
      <c r="I127" s="1" t="s">
        <v>40</v>
      </c>
      <c r="J127" s="1" t="s">
        <v>44</v>
      </c>
      <c r="K127" s="1" t="s">
        <v>31</v>
      </c>
      <c r="L127" s="1" t="s">
        <v>32</v>
      </c>
      <c r="M127" s="1" t="s">
        <v>302</v>
      </c>
      <c r="N127" s="1" t="s">
        <v>22</v>
      </c>
      <c r="O127" s="1" t="s">
        <v>2275</v>
      </c>
    </row>
    <row r="128" spans="1:15" x14ac:dyDescent="0.25">
      <c r="A128">
        <v>1001</v>
      </c>
      <c r="B128" s="1" t="s">
        <v>27</v>
      </c>
      <c r="C128" s="1" t="str">
        <f t="shared" si="1"/>
        <v>Ontario</v>
      </c>
      <c r="D128" s="1" t="s">
        <v>28</v>
      </c>
      <c r="E128" s="5">
        <v>57</v>
      </c>
      <c r="F128" s="1" t="s">
        <v>303</v>
      </c>
      <c r="G128" s="1" t="s">
        <v>304</v>
      </c>
      <c r="H128" t="s">
        <v>2270</v>
      </c>
      <c r="I128" s="1" t="s">
        <v>40</v>
      </c>
      <c r="J128" s="1" t="s">
        <v>44</v>
      </c>
      <c r="K128" s="1" t="s">
        <v>31</v>
      </c>
      <c r="L128" s="1" t="s">
        <v>32</v>
      </c>
      <c r="M128" s="1" t="s">
        <v>305</v>
      </c>
      <c r="N128" s="1" t="s">
        <v>22</v>
      </c>
      <c r="O128" s="1" t="s">
        <v>2275</v>
      </c>
    </row>
    <row r="129" spans="1:15" x14ac:dyDescent="0.25">
      <c r="A129">
        <v>1019</v>
      </c>
      <c r="B129" s="1" t="s">
        <v>104</v>
      </c>
      <c r="C129" s="1" t="str">
        <f t="shared" si="1"/>
        <v>Nova Scotia</v>
      </c>
      <c r="D129" s="1" t="s">
        <v>28</v>
      </c>
      <c r="E129" s="5">
        <v>55</v>
      </c>
      <c r="F129" s="1" t="s">
        <v>32</v>
      </c>
      <c r="G129" s="1" t="s">
        <v>32</v>
      </c>
      <c r="H129" t="s">
        <v>2270</v>
      </c>
      <c r="I129" s="1" t="s">
        <v>24</v>
      </c>
      <c r="J129" s="1" t="s">
        <v>25</v>
      </c>
      <c r="K129" s="1" t="s">
        <v>31</v>
      </c>
      <c r="L129" s="1" t="s">
        <v>32</v>
      </c>
      <c r="M129" s="1" t="s">
        <v>306</v>
      </c>
      <c r="N129" s="1" t="s">
        <v>22</v>
      </c>
      <c r="O129" s="1" t="s">
        <v>2286</v>
      </c>
    </row>
    <row r="130" spans="1:15" x14ac:dyDescent="0.25">
      <c r="A130">
        <v>1022</v>
      </c>
      <c r="B130" s="1" t="s">
        <v>27</v>
      </c>
      <c r="C130" s="1" t="str">
        <f t="shared" ref="C130:C193" si="2">IF(B130="NB","New Brunswick",IF(B130="AB","Alberta",IF(B130="BC","British Columbia",IF(B130="MB","Manitoba",IF(B130="NL","Newfoundland and Labrador",IF(B130="NS","Nova Scotia",IF(B130="ON","Ontario",IF(B130="PE","Prince Edward Island",IF(B130="QC","Quebec",IF(B130="SK","Saskatchewan",""))))))))))</f>
        <v>Ontario</v>
      </c>
      <c r="D130" s="1" t="s">
        <v>28</v>
      </c>
      <c r="E130" s="5">
        <v>40</v>
      </c>
      <c r="F130" s="1" t="s">
        <v>32</v>
      </c>
      <c r="G130" s="1" t="s">
        <v>32</v>
      </c>
      <c r="H130" t="s">
        <v>2270</v>
      </c>
      <c r="I130" s="1" t="s">
        <v>17</v>
      </c>
      <c r="J130" s="1" t="s">
        <v>25</v>
      </c>
      <c r="K130" s="1" t="s">
        <v>31</v>
      </c>
      <c r="L130" s="1" t="s">
        <v>32</v>
      </c>
      <c r="M130" s="1" t="s">
        <v>307</v>
      </c>
      <c r="N130" s="1" t="s">
        <v>60</v>
      </c>
      <c r="O130" s="1" t="s">
        <v>2275</v>
      </c>
    </row>
    <row r="131" spans="1:15" x14ac:dyDescent="0.25">
      <c r="A131">
        <v>1025</v>
      </c>
      <c r="B131" s="1" t="s">
        <v>27</v>
      </c>
      <c r="C131" s="1" t="str">
        <f t="shared" si="2"/>
        <v>Ontario</v>
      </c>
      <c r="D131" s="1" t="s">
        <v>28</v>
      </c>
      <c r="E131" s="5">
        <v>32</v>
      </c>
      <c r="F131" s="1" t="s">
        <v>32</v>
      </c>
      <c r="G131" s="1" t="s">
        <v>32</v>
      </c>
      <c r="H131" t="s">
        <v>2270</v>
      </c>
      <c r="I131" s="1" t="s">
        <v>17</v>
      </c>
      <c r="J131" s="1" t="s">
        <v>25</v>
      </c>
      <c r="K131" s="1" t="s">
        <v>31</v>
      </c>
      <c r="L131" s="1" t="s">
        <v>32</v>
      </c>
      <c r="M131" s="1" t="s">
        <v>308</v>
      </c>
      <c r="N131" s="1" t="s">
        <v>22</v>
      </c>
      <c r="O131" s="1" t="s">
        <v>2275</v>
      </c>
    </row>
    <row r="132" spans="1:15" x14ac:dyDescent="0.25">
      <c r="A132">
        <v>1026</v>
      </c>
      <c r="B132" s="1" t="s">
        <v>27</v>
      </c>
      <c r="C132" s="1" t="str">
        <f t="shared" si="2"/>
        <v>Ontario</v>
      </c>
      <c r="D132" s="1" t="s">
        <v>28</v>
      </c>
      <c r="E132" s="5">
        <v>34</v>
      </c>
      <c r="F132" s="1" t="s">
        <v>32</v>
      </c>
      <c r="G132" s="1" t="s">
        <v>32</v>
      </c>
      <c r="H132" t="s">
        <v>2270</v>
      </c>
      <c r="I132" s="1" t="s">
        <v>17</v>
      </c>
      <c r="J132" s="1" t="s">
        <v>25</v>
      </c>
      <c r="K132" s="1" t="s">
        <v>31</v>
      </c>
      <c r="L132" s="1" t="s">
        <v>32</v>
      </c>
      <c r="M132" s="1" t="s">
        <v>309</v>
      </c>
      <c r="N132" s="1" t="s">
        <v>22</v>
      </c>
      <c r="O132" s="1" t="s">
        <v>2275</v>
      </c>
    </row>
    <row r="133" spans="1:15" x14ac:dyDescent="0.25">
      <c r="A133">
        <v>1027</v>
      </c>
      <c r="B133" s="1" t="s">
        <v>27</v>
      </c>
      <c r="C133" s="1" t="str">
        <f t="shared" si="2"/>
        <v>Ontario</v>
      </c>
      <c r="D133" s="1" t="s">
        <v>28</v>
      </c>
      <c r="E133" s="5">
        <v>43</v>
      </c>
      <c r="F133" s="1" t="s">
        <v>310</v>
      </c>
      <c r="G133" s="1" t="s">
        <v>32</v>
      </c>
      <c r="H133" t="s">
        <v>2270</v>
      </c>
      <c r="I133" s="1" t="s">
        <v>17</v>
      </c>
      <c r="J133" s="1" t="s">
        <v>25</v>
      </c>
      <c r="K133" s="1" t="s">
        <v>31</v>
      </c>
      <c r="L133" s="1" t="s">
        <v>32</v>
      </c>
      <c r="M133" s="1" t="s">
        <v>311</v>
      </c>
      <c r="N133" s="1" t="s">
        <v>22</v>
      </c>
      <c r="O133" s="1" t="s">
        <v>2275</v>
      </c>
    </row>
    <row r="134" spans="1:15" x14ac:dyDescent="0.25">
      <c r="A134">
        <v>1028</v>
      </c>
      <c r="B134" s="1" t="s">
        <v>27</v>
      </c>
      <c r="C134" s="1" t="str">
        <f t="shared" si="2"/>
        <v>Ontario</v>
      </c>
      <c r="D134" s="1" t="s">
        <v>28</v>
      </c>
      <c r="E134" s="5">
        <v>55</v>
      </c>
      <c r="F134" s="1" t="s">
        <v>32</v>
      </c>
      <c r="G134" s="1" t="s">
        <v>32</v>
      </c>
      <c r="H134" t="s">
        <v>2270</v>
      </c>
      <c r="I134" s="1" t="s">
        <v>43</v>
      </c>
      <c r="J134" s="1" t="s">
        <v>25</v>
      </c>
      <c r="K134" s="1" t="s">
        <v>31</v>
      </c>
      <c r="L134" s="1" t="s">
        <v>32</v>
      </c>
      <c r="M134" s="1" t="s">
        <v>312</v>
      </c>
      <c r="N134" s="1" t="s">
        <v>22</v>
      </c>
      <c r="O134" s="1" t="s">
        <v>2275</v>
      </c>
    </row>
    <row r="135" spans="1:15" x14ac:dyDescent="0.25">
      <c r="A135">
        <v>1042</v>
      </c>
      <c r="B135" s="1" t="s">
        <v>313</v>
      </c>
      <c r="C135" s="1" t="str">
        <f t="shared" si="2"/>
        <v>Prince Edward Island</v>
      </c>
      <c r="D135" s="1" t="s">
        <v>14</v>
      </c>
      <c r="E135" s="5">
        <v>43</v>
      </c>
      <c r="F135" s="1" t="s">
        <v>314</v>
      </c>
      <c r="G135" s="1" t="s">
        <v>32</v>
      </c>
      <c r="H135" t="s">
        <v>2270</v>
      </c>
      <c r="I135" s="1" t="s">
        <v>17</v>
      </c>
      <c r="J135" s="1" t="s">
        <v>25</v>
      </c>
      <c r="K135" s="1" t="s">
        <v>31</v>
      </c>
      <c r="L135" s="1" t="s">
        <v>32</v>
      </c>
      <c r="M135" s="1" t="s">
        <v>315</v>
      </c>
      <c r="N135" s="1" t="s">
        <v>22</v>
      </c>
      <c r="O135" s="1" t="s">
        <v>2287</v>
      </c>
    </row>
    <row r="136" spans="1:15" x14ac:dyDescent="0.25">
      <c r="A136">
        <v>1057</v>
      </c>
      <c r="B136" s="1" t="s">
        <v>27</v>
      </c>
      <c r="C136" s="1" t="str">
        <f t="shared" si="2"/>
        <v>Ontario</v>
      </c>
      <c r="D136" s="1" t="s">
        <v>28</v>
      </c>
      <c r="E136" s="5">
        <v>39</v>
      </c>
      <c r="F136" s="1" t="s">
        <v>316</v>
      </c>
      <c r="G136" s="1" t="s">
        <v>32</v>
      </c>
      <c r="H136" t="s">
        <v>2270</v>
      </c>
      <c r="I136" s="1" t="s">
        <v>17</v>
      </c>
      <c r="J136" s="1" t="s">
        <v>25</v>
      </c>
      <c r="K136" s="1" t="s">
        <v>31</v>
      </c>
      <c r="L136" s="1" t="s">
        <v>91</v>
      </c>
      <c r="M136" s="1" t="s">
        <v>317</v>
      </c>
      <c r="N136" s="1" t="s">
        <v>60</v>
      </c>
      <c r="O136" s="1" t="s">
        <v>2275</v>
      </c>
    </row>
    <row r="137" spans="1:15" x14ac:dyDescent="0.25">
      <c r="A137">
        <v>1058</v>
      </c>
      <c r="B137" s="1" t="s">
        <v>27</v>
      </c>
      <c r="C137" s="1" t="str">
        <f t="shared" si="2"/>
        <v>Ontario</v>
      </c>
      <c r="D137" s="1" t="s">
        <v>14</v>
      </c>
      <c r="E137" s="5">
        <v>37</v>
      </c>
      <c r="F137" s="1" t="s">
        <v>318</v>
      </c>
      <c r="G137" s="1" t="s">
        <v>319</v>
      </c>
      <c r="H137" t="s">
        <v>2270</v>
      </c>
      <c r="I137" s="1" t="s">
        <v>64</v>
      </c>
      <c r="J137" s="1" t="s">
        <v>44</v>
      </c>
      <c r="K137" s="1" t="s">
        <v>31</v>
      </c>
      <c r="L137" s="1" t="s">
        <v>32</v>
      </c>
      <c r="M137" s="1" t="s">
        <v>320</v>
      </c>
      <c r="N137" s="1" t="s">
        <v>60</v>
      </c>
      <c r="O137" s="1" t="s">
        <v>2275</v>
      </c>
    </row>
    <row r="138" spans="1:15" x14ac:dyDescent="0.25">
      <c r="A138">
        <v>1059</v>
      </c>
      <c r="B138" s="1" t="s">
        <v>27</v>
      </c>
      <c r="C138" s="1" t="str">
        <f t="shared" si="2"/>
        <v>Ontario</v>
      </c>
      <c r="D138" s="1" t="s">
        <v>14</v>
      </c>
      <c r="E138" s="5">
        <v>37</v>
      </c>
      <c r="F138" s="1" t="s">
        <v>321</v>
      </c>
      <c r="G138" s="1" t="s">
        <v>322</v>
      </c>
      <c r="H138" t="s">
        <v>2270</v>
      </c>
      <c r="I138" s="1" t="s">
        <v>32</v>
      </c>
      <c r="J138" s="1" t="s">
        <v>44</v>
      </c>
      <c r="K138" s="1" t="s">
        <v>31</v>
      </c>
      <c r="L138" s="1" t="s">
        <v>32</v>
      </c>
      <c r="M138" s="1" t="s">
        <v>323</v>
      </c>
      <c r="N138" s="1" t="s">
        <v>60</v>
      </c>
      <c r="O138" s="1" t="s">
        <v>2275</v>
      </c>
    </row>
    <row r="139" spans="1:15" x14ac:dyDescent="0.25">
      <c r="A139">
        <v>1060</v>
      </c>
      <c r="B139" s="1" t="s">
        <v>27</v>
      </c>
      <c r="C139" s="1" t="str">
        <f t="shared" si="2"/>
        <v>Ontario</v>
      </c>
      <c r="D139" s="1" t="s">
        <v>28</v>
      </c>
      <c r="E139" s="5">
        <v>37</v>
      </c>
      <c r="F139" s="1" t="s">
        <v>324</v>
      </c>
      <c r="G139" s="1" t="s">
        <v>325</v>
      </c>
      <c r="H139" t="s">
        <v>2270</v>
      </c>
      <c r="I139" s="1" t="s">
        <v>17</v>
      </c>
      <c r="J139" s="1" t="s">
        <v>44</v>
      </c>
      <c r="K139" s="1" t="s">
        <v>31</v>
      </c>
      <c r="L139" s="1" t="s">
        <v>91</v>
      </c>
      <c r="M139" s="1" t="s">
        <v>326</v>
      </c>
      <c r="N139" s="1" t="s">
        <v>60</v>
      </c>
      <c r="O139" s="1" t="s">
        <v>2275</v>
      </c>
    </row>
    <row r="140" spans="1:15" x14ac:dyDescent="0.25">
      <c r="A140">
        <v>1067</v>
      </c>
      <c r="B140" s="1" t="s">
        <v>27</v>
      </c>
      <c r="C140" s="1" t="str">
        <f t="shared" si="2"/>
        <v>Ontario</v>
      </c>
      <c r="D140" s="1" t="s">
        <v>73</v>
      </c>
      <c r="E140" s="5">
        <v>34</v>
      </c>
      <c r="F140" s="1" t="s">
        <v>327</v>
      </c>
      <c r="G140" s="1" t="s">
        <v>328</v>
      </c>
      <c r="H140" t="s">
        <v>2270</v>
      </c>
      <c r="I140" s="1" t="s">
        <v>24</v>
      </c>
      <c r="J140" s="1" t="s">
        <v>18</v>
      </c>
      <c r="K140" s="1" t="s">
        <v>19</v>
      </c>
      <c r="L140" s="1" t="s">
        <v>32</v>
      </c>
      <c r="M140" s="1" t="s">
        <v>329</v>
      </c>
      <c r="N140" s="1" t="s">
        <v>60</v>
      </c>
      <c r="O140" s="1" t="s">
        <v>2275</v>
      </c>
    </row>
    <row r="141" spans="1:15" x14ac:dyDescent="0.25">
      <c r="A141">
        <v>1086</v>
      </c>
      <c r="B141" s="1" t="s">
        <v>27</v>
      </c>
      <c r="C141" s="1" t="str">
        <f t="shared" si="2"/>
        <v>Ontario</v>
      </c>
      <c r="D141" s="1" t="s">
        <v>28</v>
      </c>
      <c r="E141" s="5">
        <v>37</v>
      </c>
      <c r="F141" s="1" t="s">
        <v>32</v>
      </c>
      <c r="G141" s="1" t="s">
        <v>32</v>
      </c>
      <c r="H141" t="s">
        <v>2270</v>
      </c>
      <c r="I141" s="1" t="s">
        <v>17</v>
      </c>
      <c r="J141" s="1" t="s">
        <v>25</v>
      </c>
      <c r="K141" s="1" t="s">
        <v>31</v>
      </c>
      <c r="L141" s="1" t="s">
        <v>91</v>
      </c>
      <c r="M141" s="1" t="s">
        <v>330</v>
      </c>
      <c r="N141" s="1" t="s">
        <v>60</v>
      </c>
      <c r="O141" s="1" t="s">
        <v>2275</v>
      </c>
    </row>
    <row r="142" spans="1:15" x14ac:dyDescent="0.25">
      <c r="A142">
        <v>1087</v>
      </c>
      <c r="B142" s="1" t="s">
        <v>27</v>
      </c>
      <c r="C142" s="1" t="str">
        <f t="shared" si="2"/>
        <v>Ontario</v>
      </c>
      <c r="D142" s="1" t="s">
        <v>28</v>
      </c>
      <c r="E142" s="5">
        <v>44</v>
      </c>
      <c r="F142" s="1" t="s">
        <v>331</v>
      </c>
      <c r="G142" s="1" t="s">
        <v>332</v>
      </c>
      <c r="H142" t="s">
        <v>2270</v>
      </c>
      <c r="I142" s="1" t="s">
        <v>24</v>
      </c>
      <c r="J142" s="1" t="s">
        <v>25</v>
      </c>
      <c r="K142" s="1" t="s">
        <v>31</v>
      </c>
      <c r="L142" s="1" t="s">
        <v>91</v>
      </c>
      <c r="M142" s="1" t="s">
        <v>333</v>
      </c>
      <c r="N142" s="1" t="s">
        <v>22</v>
      </c>
      <c r="O142" s="1" t="s">
        <v>2275</v>
      </c>
    </row>
    <row r="143" spans="1:15" x14ac:dyDescent="0.25">
      <c r="A143">
        <v>1098</v>
      </c>
      <c r="B143" s="1" t="s">
        <v>57</v>
      </c>
      <c r="C143" s="1" t="str">
        <f t="shared" si="2"/>
        <v>British Columbia</v>
      </c>
      <c r="D143" s="1" t="s">
        <v>28</v>
      </c>
      <c r="E143" s="5">
        <v>47.06</v>
      </c>
      <c r="F143" s="1" t="s">
        <v>32</v>
      </c>
      <c r="G143" s="1" t="s">
        <v>32</v>
      </c>
      <c r="H143" t="s">
        <v>2270</v>
      </c>
      <c r="I143" s="1" t="s">
        <v>43</v>
      </c>
      <c r="J143" s="1" t="s">
        <v>25</v>
      </c>
      <c r="K143" s="1" t="s">
        <v>31</v>
      </c>
      <c r="L143" s="1" t="s">
        <v>32</v>
      </c>
      <c r="M143" s="1" t="s">
        <v>334</v>
      </c>
      <c r="N143" s="1" t="s">
        <v>22</v>
      </c>
      <c r="O143" s="1" t="s">
        <v>2274</v>
      </c>
    </row>
    <row r="144" spans="1:15" x14ac:dyDescent="0.25">
      <c r="A144">
        <v>1103</v>
      </c>
      <c r="B144" s="1" t="s">
        <v>57</v>
      </c>
      <c r="C144" s="1" t="str">
        <f t="shared" si="2"/>
        <v>British Columbia</v>
      </c>
      <c r="D144" s="1" t="s">
        <v>28</v>
      </c>
      <c r="E144" s="5">
        <v>47.06</v>
      </c>
      <c r="F144" s="1" t="s">
        <v>32</v>
      </c>
      <c r="G144" s="1" t="s">
        <v>32</v>
      </c>
      <c r="H144" t="s">
        <v>2270</v>
      </c>
      <c r="I144" s="1" t="s">
        <v>17</v>
      </c>
      <c r="J144" s="1" t="s">
        <v>25</v>
      </c>
      <c r="K144" s="1" t="s">
        <v>31</v>
      </c>
      <c r="L144" s="1" t="s">
        <v>32</v>
      </c>
      <c r="M144" s="1" t="s">
        <v>335</v>
      </c>
      <c r="N144" s="1" t="s">
        <v>22</v>
      </c>
      <c r="O144" s="1" t="s">
        <v>2274</v>
      </c>
    </row>
    <row r="145" spans="1:15" x14ac:dyDescent="0.25">
      <c r="A145">
        <v>1110</v>
      </c>
      <c r="B145" s="1" t="s">
        <v>57</v>
      </c>
      <c r="C145" s="1" t="str">
        <f t="shared" si="2"/>
        <v>British Columbia</v>
      </c>
      <c r="D145" s="1" t="s">
        <v>14</v>
      </c>
      <c r="E145" s="5">
        <v>27</v>
      </c>
      <c r="F145" s="1" t="s">
        <v>32</v>
      </c>
      <c r="G145" s="1" t="s">
        <v>336</v>
      </c>
      <c r="H145" t="s">
        <v>2271</v>
      </c>
      <c r="I145" s="1" t="s">
        <v>35</v>
      </c>
      <c r="J145" s="1" t="s">
        <v>25</v>
      </c>
      <c r="K145" s="1" t="s">
        <v>19</v>
      </c>
      <c r="L145" s="1" t="s">
        <v>32</v>
      </c>
      <c r="M145" s="1" t="s">
        <v>337</v>
      </c>
      <c r="N145" s="1" t="s">
        <v>60</v>
      </c>
      <c r="O145" s="1" t="s">
        <v>2274</v>
      </c>
    </row>
    <row r="146" spans="1:15" x14ac:dyDescent="0.25">
      <c r="A146">
        <v>1111</v>
      </c>
      <c r="B146" s="1" t="s">
        <v>57</v>
      </c>
      <c r="C146" s="1" t="str">
        <f t="shared" si="2"/>
        <v>British Columbia</v>
      </c>
      <c r="D146" s="1" t="s">
        <v>14</v>
      </c>
      <c r="E146" s="5">
        <v>40</v>
      </c>
      <c r="F146" s="1" t="s">
        <v>338</v>
      </c>
      <c r="G146" s="1" t="s">
        <v>32</v>
      </c>
      <c r="H146" t="s">
        <v>2271</v>
      </c>
      <c r="I146" s="1" t="s">
        <v>43</v>
      </c>
      <c r="J146" s="1" t="s">
        <v>25</v>
      </c>
      <c r="K146" s="1" t="s">
        <v>31</v>
      </c>
      <c r="L146" s="1" t="s">
        <v>45</v>
      </c>
      <c r="M146" s="1" t="s">
        <v>339</v>
      </c>
      <c r="N146" s="1" t="s">
        <v>22</v>
      </c>
      <c r="O146" s="1" t="s">
        <v>2274</v>
      </c>
    </row>
    <row r="147" spans="1:15" x14ac:dyDescent="0.25">
      <c r="A147">
        <v>1112</v>
      </c>
      <c r="B147" s="1" t="s">
        <v>57</v>
      </c>
      <c r="C147" s="1" t="str">
        <f t="shared" si="2"/>
        <v>British Columbia</v>
      </c>
      <c r="D147" s="1" t="s">
        <v>14</v>
      </c>
      <c r="E147" s="5">
        <v>35</v>
      </c>
      <c r="F147" s="1" t="s">
        <v>340</v>
      </c>
      <c r="G147" s="1" t="s">
        <v>341</v>
      </c>
      <c r="H147" t="s">
        <v>2271</v>
      </c>
      <c r="I147" s="1" t="s">
        <v>35</v>
      </c>
      <c r="J147" s="1" t="s">
        <v>25</v>
      </c>
      <c r="K147" s="1" t="s">
        <v>31</v>
      </c>
      <c r="L147" s="1" t="s">
        <v>32</v>
      </c>
      <c r="M147" s="1" t="s">
        <v>342</v>
      </c>
      <c r="N147" s="1" t="s">
        <v>60</v>
      </c>
      <c r="O147" s="1" t="s">
        <v>2274</v>
      </c>
    </row>
    <row r="148" spans="1:15" x14ac:dyDescent="0.25">
      <c r="A148">
        <v>1113</v>
      </c>
      <c r="B148" s="1" t="s">
        <v>57</v>
      </c>
      <c r="C148" s="1" t="str">
        <f t="shared" si="2"/>
        <v>British Columbia</v>
      </c>
      <c r="D148" s="1" t="s">
        <v>14</v>
      </c>
      <c r="E148" s="5">
        <v>40.299999999999997</v>
      </c>
      <c r="F148" s="1" t="s">
        <v>32</v>
      </c>
      <c r="G148" s="1" t="s">
        <v>343</v>
      </c>
      <c r="H148" t="s">
        <v>2271</v>
      </c>
      <c r="I148" s="1" t="s">
        <v>43</v>
      </c>
      <c r="J148" s="1" t="s">
        <v>25</v>
      </c>
      <c r="K148" s="1" t="s">
        <v>31</v>
      </c>
      <c r="L148" s="1" t="s">
        <v>45</v>
      </c>
      <c r="M148" s="1" t="s">
        <v>344</v>
      </c>
      <c r="N148" s="1" t="s">
        <v>22</v>
      </c>
      <c r="O148" s="1" t="s">
        <v>2274</v>
      </c>
    </row>
    <row r="149" spans="1:15" x14ac:dyDescent="0.25">
      <c r="A149">
        <v>1114</v>
      </c>
      <c r="B149" s="1" t="s">
        <v>57</v>
      </c>
      <c r="C149" s="1" t="str">
        <f t="shared" si="2"/>
        <v>British Columbia</v>
      </c>
      <c r="D149" s="1" t="s">
        <v>14</v>
      </c>
      <c r="E149" s="5">
        <v>27</v>
      </c>
      <c r="F149" s="1" t="s">
        <v>345</v>
      </c>
      <c r="G149" s="1" t="s">
        <v>32</v>
      </c>
      <c r="H149" t="s">
        <v>2271</v>
      </c>
      <c r="I149" s="1" t="s">
        <v>64</v>
      </c>
      <c r="J149" s="1" t="s">
        <v>25</v>
      </c>
      <c r="K149" s="1" t="s">
        <v>19</v>
      </c>
      <c r="L149" s="1" t="s">
        <v>32</v>
      </c>
      <c r="M149" s="1" t="s">
        <v>346</v>
      </c>
      <c r="N149" s="1" t="s">
        <v>60</v>
      </c>
      <c r="O149" s="1" t="s">
        <v>2274</v>
      </c>
    </row>
    <row r="150" spans="1:15" x14ac:dyDescent="0.25">
      <c r="A150">
        <v>1115</v>
      </c>
      <c r="B150" s="1" t="s">
        <v>57</v>
      </c>
      <c r="C150" s="1" t="str">
        <f t="shared" si="2"/>
        <v>British Columbia</v>
      </c>
      <c r="D150" s="1" t="s">
        <v>14</v>
      </c>
      <c r="E150" s="5">
        <v>40.299999999999997</v>
      </c>
      <c r="F150" s="1" t="s">
        <v>347</v>
      </c>
      <c r="G150" s="1" t="s">
        <v>348</v>
      </c>
      <c r="H150" t="s">
        <v>2271</v>
      </c>
      <c r="I150" s="1" t="s">
        <v>35</v>
      </c>
      <c r="J150" s="1" t="s">
        <v>25</v>
      </c>
      <c r="K150" s="1" t="s">
        <v>31</v>
      </c>
      <c r="L150" s="1" t="s">
        <v>32</v>
      </c>
      <c r="M150" s="1" t="s">
        <v>349</v>
      </c>
      <c r="N150" s="1" t="s">
        <v>22</v>
      </c>
      <c r="O150" s="1" t="s">
        <v>2274</v>
      </c>
    </row>
    <row r="151" spans="1:15" x14ac:dyDescent="0.25">
      <c r="A151">
        <v>1116</v>
      </c>
      <c r="B151" s="1" t="s">
        <v>57</v>
      </c>
      <c r="C151" s="1" t="str">
        <f t="shared" si="2"/>
        <v>British Columbia</v>
      </c>
      <c r="D151" s="1" t="s">
        <v>14</v>
      </c>
      <c r="E151" s="5">
        <v>40.299999999999997</v>
      </c>
      <c r="F151" s="1" t="s">
        <v>32</v>
      </c>
      <c r="G151" s="1" t="s">
        <v>32</v>
      </c>
      <c r="H151" t="s">
        <v>2271</v>
      </c>
      <c r="I151" s="1" t="s">
        <v>43</v>
      </c>
      <c r="J151" s="1" t="s">
        <v>25</v>
      </c>
      <c r="K151" s="1" t="s">
        <v>31</v>
      </c>
      <c r="L151" s="1" t="s">
        <v>45</v>
      </c>
      <c r="M151" s="1" t="s">
        <v>350</v>
      </c>
      <c r="N151" s="1" t="s">
        <v>22</v>
      </c>
      <c r="O151" s="1" t="s">
        <v>2274</v>
      </c>
    </row>
    <row r="152" spans="1:15" x14ac:dyDescent="0.25">
      <c r="A152">
        <v>1122</v>
      </c>
      <c r="B152" s="1" t="s">
        <v>57</v>
      </c>
      <c r="C152" s="1" t="str">
        <f t="shared" si="2"/>
        <v>British Columbia</v>
      </c>
      <c r="D152" s="1" t="s">
        <v>14</v>
      </c>
      <c r="E152" s="5">
        <v>30</v>
      </c>
      <c r="F152" s="1" t="s">
        <v>351</v>
      </c>
      <c r="G152" s="1" t="s">
        <v>32</v>
      </c>
      <c r="H152" t="s">
        <v>2270</v>
      </c>
      <c r="I152" s="1" t="s">
        <v>64</v>
      </c>
      <c r="J152" s="1" t="s">
        <v>25</v>
      </c>
      <c r="K152" s="1" t="s">
        <v>19</v>
      </c>
      <c r="L152" s="1" t="s">
        <v>32</v>
      </c>
      <c r="M152" s="1" t="s">
        <v>352</v>
      </c>
      <c r="N152" s="1" t="s">
        <v>22</v>
      </c>
      <c r="O152" s="1" t="s">
        <v>2274</v>
      </c>
    </row>
    <row r="153" spans="1:15" x14ac:dyDescent="0.25">
      <c r="A153">
        <v>1128</v>
      </c>
      <c r="B153" s="1" t="s">
        <v>147</v>
      </c>
      <c r="C153" s="1" t="str">
        <f t="shared" si="2"/>
        <v>Manitoba</v>
      </c>
      <c r="D153" s="1" t="s">
        <v>14</v>
      </c>
      <c r="E153" s="5">
        <v>42</v>
      </c>
      <c r="F153" s="1" t="s">
        <v>32</v>
      </c>
      <c r="G153" s="1" t="s">
        <v>32</v>
      </c>
      <c r="H153" t="s">
        <v>2270</v>
      </c>
      <c r="I153" s="1" t="s">
        <v>24</v>
      </c>
      <c r="J153" s="1" t="s">
        <v>25</v>
      </c>
      <c r="K153" s="1" t="s">
        <v>31</v>
      </c>
      <c r="L153" s="1" t="s">
        <v>91</v>
      </c>
      <c r="M153" s="1" t="s">
        <v>353</v>
      </c>
      <c r="N153" s="1" t="s">
        <v>22</v>
      </c>
      <c r="O153" s="1" t="s">
        <v>2283</v>
      </c>
    </row>
    <row r="154" spans="1:15" x14ac:dyDescent="0.25">
      <c r="A154">
        <v>1129</v>
      </c>
      <c r="B154" s="1" t="s">
        <v>354</v>
      </c>
      <c r="C154" s="1" t="str">
        <f t="shared" si="2"/>
        <v>Quebec</v>
      </c>
      <c r="D154" s="1" t="s">
        <v>14</v>
      </c>
      <c r="E154" s="5">
        <v>43</v>
      </c>
      <c r="F154" s="1" t="s">
        <v>32</v>
      </c>
      <c r="G154" s="1" t="s">
        <v>32</v>
      </c>
      <c r="H154" t="s">
        <v>2270</v>
      </c>
      <c r="I154" s="1" t="s">
        <v>24</v>
      </c>
      <c r="J154" s="1" t="s">
        <v>18</v>
      </c>
      <c r="K154" s="1" t="s">
        <v>19</v>
      </c>
      <c r="L154" s="1" t="s">
        <v>20</v>
      </c>
      <c r="M154" s="1" t="s">
        <v>355</v>
      </c>
      <c r="N154" s="1" t="s">
        <v>60</v>
      </c>
      <c r="O154" s="1" t="s">
        <v>2276</v>
      </c>
    </row>
    <row r="155" spans="1:15" x14ac:dyDescent="0.25">
      <c r="A155">
        <v>1130</v>
      </c>
      <c r="B155" s="1" t="s">
        <v>354</v>
      </c>
      <c r="C155" s="1" t="str">
        <f t="shared" si="2"/>
        <v>Quebec</v>
      </c>
      <c r="D155" s="1" t="s">
        <v>14</v>
      </c>
      <c r="E155" s="5">
        <v>45</v>
      </c>
      <c r="F155" s="1" t="s">
        <v>356</v>
      </c>
      <c r="G155" s="1" t="s">
        <v>357</v>
      </c>
      <c r="H155" t="s">
        <v>2270</v>
      </c>
      <c r="I155" s="1" t="s">
        <v>17</v>
      </c>
      <c r="J155" s="1" t="s">
        <v>25</v>
      </c>
      <c r="K155" s="1" t="s">
        <v>31</v>
      </c>
      <c r="L155" s="1" t="s">
        <v>32</v>
      </c>
      <c r="M155" s="1" t="s">
        <v>358</v>
      </c>
      <c r="N155" s="1" t="s">
        <v>60</v>
      </c>
      <c r="O155" s="1" t="s">
        <v>2276</v>
      </c>
    </row>
    <row r="156" spans="1:15" x14ac:dyDescent="0.25">
      <c r="A156">
        <v>1131</v>
      </c>
      <c r="B156" s="1" t="s">
        <v>354</v>
      </c>
      <c r="C156" s="1" t="str">
        <f t="shared" si="2"/>
        <v>Quebec</v>
      </c>
      <c r="D156" s="1" t="s">
        <v>14</v>
      </c>
      <c r="E156" s="5">
        <v>45</v>
      </c>
      <c r="F156" s="1" t="s">
        <v>359</v>
      </c>
      <c r="G156" s="1" t="s">
        <v>360</v>
      </c>
      <c r="H156" t="s">
        <v>2270</v>
      </c>
      <c r="I156" s="1" t="s">
        <v>24</v>
      </c>
      <c r="J156" s="1" t="s">
        <v>25</v>
      </c>
      <c r="K156" s="1" t="s">
        <v>31</v>
      </c>
      <c r="L156" s="1" t="s">
        <v>20</v>
      </c>
      <c r="M156" s="1" t="s">
        <v>361</v>
      </c>
      <c r="N156" s="1" t="s">
        <v>22</v>
      </c>
      <c r="O156" s="1" t="s">
        <v>2276</v>
      </c>
    </row>
    <row r="157" spans="1:15" x14ac:dyDescent="0.25">
      <c r="A157">
        <v>1132</v>
      </c>
      <c r="B157" s="1" t="s">
        <v>354</v>
      </c>
      <c r="C157" s="1" t="str">
        <f t="shared" si="2"/>
        <v>Quebec</v>
      </c>
      <c r="D157" s="1" t="s">
        <v>14</v>
      </c>
      <c r="E157" s="5">
        <v>52</v>
      </c>
      <c r="F157" s="1" t="s">
        <v>362</v>
      </c>
      <c r="G157" s="1" t="s">
        <v>363</v>
      </c>
      <c r="H157" t="s">
        <v>2270</v>
      </c>
      <c r="I157" s="1" t="s">
        <v>43</v>
      </c>
      <c r="J157" s="1" t="s">
        <v>25</v>
      </c>
      <c r="K157" s="1" t="s">
        <v>31</v>
      </c>
      <c r="L157" s="1" t="s">
        <v>45</v>
      </c>
      <c r="M157" s="1" t="s">
        <v>364</v>
      </c>
      <c r="N157" s="1" t="s">
        <v>60</v>
      </c>
      <c r="O157" s="1" t="s">
        <v>2276</v>
      </c>
    </row>
    <row r="158" spans="1:15" x14ac:dyDescent="0.25">
      <c r="A158">
        <v>1133</v>
      </c>
      <c r="B158" s="1" t="s">
        <v>354</v>
      </c>
      <c r="C158" s="1" t="str">
        <f t="shared" si="2"/>
        <v>Quebec</v>
      </c>
      <c r="D158" s="1" t="s">
        <v>14</v>
      </c>
      <c r="E158" s="5">
        <v>52</v>
      </c>
      <c r="F158" s="1" t="s">
        <v>365</v>
      </c>
      <c r="G158" s="1" t="s">
        <v>366</v>
      </c>
      <c r="H158" t="s">
        <v>2270</v>
      </c>
      <c r="I158" s="1" t="s">
        <v>43</v>
      </c>
      <c r="J158" s="1" t="s">
        <v>25</v>
      </c>
      <c r="K158" s="1" t="s">
        <v>31</v>
      </c>
      <c r="L158" s="1" t="s">
        <v>45</v>
      </c>
      <c r="M158" s="1" t="s">
        <v>367</v>
      </c>
      <c r="N158" s="1" t="s">
        <v>60</v>
      </c>
      <c r="O158" s="1" t="s">
        <v>2276</v>
      </c>
    </row>
    <row r="159" spans="1:15" x14ac:dyDescent="0.25">
      <c r="A159">
        <v>1134</v>
      </c>
      <c r="B159" s="1" t="s">
        <v>354</v>
      </c>
      <c r="C159" s="1" t="str">
        <f t="shared" si="2"/>
        <v>Quebec</v>
      </c>
      <c r="D159" s="1" t="s">
        <v>14</v>
      </c>
      <c r="E159" s="5">
        <v>45</v>
      </c>
      <c r="F159" s="1" t="s">
        <v>368</v>
      </c>
      <c r="G159" s="1" t="s">
        <v>369</v>
      </c>
      <c r="H159" t="s">
        <v>2270</v>
      </c>
      <c r="I159" s="1" t="s">
        <v>17</v>
      </c>
      <c r="J159" s="1" t="s">
        <v>25</v>
      </c>
      <c r="K159" s="1" t="s">
        <v>31</v>
      </c>
      <c r="L159" s="1" t="s">
        <v>91</v>
      </c>
      <c r="M159" s="1" t="s">
        <v>370</v>
      </c>
      <c r="N159" s="1" t="s">
        <v>60</v>
      </c>
      <c r="O159" s="1" t="s">
        <v>2276</v>
      </c>
    </row>
    <row r="160" spans="1:15" x14ac:dyDescent="0.25">
      <c r="A160">
        <v>1136</v>
      </c>
      <c r="B160" s="1" t="s">
        <v>354</v>
      </c>
      <c r="C160" s="1" t="str">
        <f t="shared" si="2"/>
        <v>Quebec</v>
      </c>
      <c r="D160" s="1" t="s">
        <v>14</v>
      </c>
      <c r="E160" s="5">
        <v>52</v>
      </c>
      <c r="F160" s="1" t="s">
        <v>32</v>
      </c>
      <c r="G160" s="1" t="s">
        <v>32</v>
      </c>
      <c r="H160" t="s">
        <v>2270</v>
      </c>
      <c r="I160" s="1" t="s">
        <v>43</v>
      </c>
      <c r="J160" s="1" t="s">
        <v>25</v>
      </c>
      <c r="K160" s="1" t="s">
        <v>31</v>
      </c>
      <c r="L160" s="1" t="s">
        <v>20</v>
      </c>
      <c r="M160" s="1" t="s">
        <v>371</v>
      </c>
      <c r="N160" s="1" t="s">
        <v>60</v>
      </c>
      <c r="O160" s="1" t="s">
        <v>2276</v>
      </c>
    </row>
    <row r="161" spans="1:15" x14ac:dyDescent="0.25">
      <c r="A161">
        <v>1137</v>
      </c>
      <c r="B161" s="1" t="s">
        <v>354</v>
      </c>
      <c r="C161" s="1" t="str">
        <f t="shared" si="2"/>
        <v>Quebec</v>
      </c>
      <c r="D161" s="1" t="s">
        <v>73</v>
      </c>
      <c r="E161" s="5">
        <v>50</v>
      </c>
      <c r="F161" s="1" t="s">
        <v>372</v>
      </c>
      <c r="G161" s="1" t="s">
        <v>373</v>
      </c>
      <c r="H161" t="s">
        <v>2270</v>
      </c>
      <c r="I161" s="1" t="s">
        <v>43</v>
      </c>
      <c r="J161" s="1" t="s">
        <v>25</v>
      </c>
      <c r="K161" s="1" t="s">
        <v>31</v>
      </c>
      <c r="L161" s="1" t="s">
        <v>20</v>
      </c>
      <c r="M161" s="1" t="s">
        <v>374</v>
      </c>
      <c r="N161" s="1" t="s">
        <v>22</v>
      </c>
      <c r="O161" s="1" t="s">
        <v>2276</v>
      </c>
    </row>
    <row r="162" spans="1:15" x14ac:dyDescent="0.25">
      <c r="A162">
        <v>1138</v>
      </c>
      <c r="B162" s="1" t="s">
        <v>354</v>
      </c>
      <c r="C162" s="1" t="str">
        <f t="shared" si="2"/>
        <v>Quebec</v>
      </c>
      <c r="D162" s="1" t="s">
        <v>73</v>
      </c>
      <c r="E162" s="5">
        <v>34</v>
      </c>
      <c r="F162" s="1" t="s">
        <v>375</v>
      </c>
      <c r="G162" s="1" t="s">
        <v>376</v>
      </c>
      <c r="H162" t="s">
        <v>2270</v>
      </c>
      <c r="I162" s="1" t="s">
        <v>17</v>
      </c>
      <c r="J162" s="1" t="s">
        <v>25</v>
      </c>
      <c r="K162" s="1" t="s">
        <v>31</v>
      </c>
      <c r="L162" s="1" t="s">
        <v>32</v>
      </c>
      <c r="M162" s="1" t="s">
        <v>377</v>
      </c>
      <c r="N162" s="1" t="s">
        <v>60</v>
      </c>
      <c r="O162" s="1" t="s">
        <v>2276</v>
      </c>
    </row>
    <row r="163" spans="1:15" x14ac:dyDescent="0.25">
      <c r="A163">
        <v>1139</v>
      </c>
      <c r="B163" s="1" t="s">
        <v>354</v>
      </c>
      <c r="C163" s="1" t="str">
        <f t="shared" si="2"/>
        <v>Quebec</v>
      </c>
      <c r="D163" s="1" t="s">
        <v>73</v>
      </c>
      <c r="E163" s="5">
        <v>50</v>
      </c>
      <c r="F163" s="1" t="s">
        <v>378</v>
      </c>
      <c r="G163" s="1" t="s">
        <v>379</v>
      </c>
      <c r="H163" t="s">
        <v>2270</v>
      </c>
      <c r="I163" s="1" t="s">
        <v>43</v>
      </c>
      <c r="J163" s="1" t="s">
        <v>25</v>
      </c>
      <c r="K163" s="1" t="s">
        <v>31</v>
      </c>
      <c r="L163" s="1" t="s">
        <v>32</v>
      </c>
      <c r="M163" s="1" t="s">
        <v>380</v>
      </c>
      <c r="N163" s="1" t="s">
        <v>22</v>
      </c>
      <c r="O163" s="1" t="s">
        <v>2276</v>
      </c>
    </row>
    <row r="164" spans="1:15" x14ac:dyDescent="0.25">
      <c r="A164">
        <v>1140</v>
      </c>
      <c r="B164" s="1" t="s">
        <v>354</v>
      </c>
      <c r="C164" s="1" t="str">
        <f t="shared" si="2"/>
        <v>Quebec</v>
      </c>
      <c r="D164" s="1" t="s">
        <v>73</v>
      </c>
      <c r="E164" s="5">
        <v>34</v>
      </c>
      <c r="F164" s="1" t="s">
        <v>381</v>
      </c>
      <c r="G164" s="1" t="s">
        <v>382</v>
      </c>
      <c r="H164" t="s">
        <v>2270</v>
      </c>
      <c r="I164" s="1" t="s">
        <v>17</v>
      </c>
      <c r="J164" s="1" t="s">
        <v>25</v>
      </c>
      <c r="K164" s="1" t="s">
        <v>19</v>
      </c>
      <c r="L164" s="1" t="s">
        <v>32</v>
      </c>
      <c r="M164" s="1" t="s">
        <v>383</v>
      </c>
      <c r="N164" s="1" t="s">
        <v>60</v>
      </c>
      <c r="O164" s="1" t="s">
        <v>2276</v>
      </c>
    </row>
    <row r="165" spans="1:15" x14ac:dyDescent="0.25">
      <c r="A165">
        <v>1141</v>
      </c>
      <c r="B165" s="1" t="s">
        <v>354</v>
      </c>
      <c r="C165" s="1" t="str">
        <f t="shared" si="2"/>
        <v>Quebec</v>
      </c>
      <c r="D165" s="1" t="s">
        <v>73</v>
      </c>
      <c r="E165" s="5">
        <v>83</v>
      </c>
      <c r="F165" s="1" t="s">
        <v>32</v>
      </c>
      <c r="G165" s="1" t="s">
        <v>384</v>
      </c>
      <c r="H165" t="s">
        <v>2270</v>
      </c>
      <c r="I165" s="1" t="s">
        <v>40</v>
      </c>
      <c r="J165" s="1" t="s">
        <v>25</v>
      </c>
      <c r="K165" s="1" t="s">
        <v>31</v>
      </c>
      <c r="L165" s="1" t="s">
        <v>32</v>
      </c>
      <c r="M165" s="1" t="s">
        <v>385</v>
      </c>
      <c r="N165" s="1" t="s">
        <v>22</v>
      </c>
      <c r="O165" s="1" t="s">
        <v>2276</v>
      </c>
    </row>
    <row r="166" spans="1:15" x14ac:dyDescent="0.25">
      <c r="A166">
        <v>1142</v>
      </c>
      <c r="B166" s="1" t="s">
        <v>354</v>
      </c>
      <c r="C166" s="1" t="str">
        <f t="shared" si="2"/>
        <v>Quebec</v>
      </c>
      <c r="D166" s="1" t="s">
        <v>73</v>
      </c>
      <c r="E166" s="5">
        <v>39</v>
      </c>
      <c r="F166" s="1" t="s">
        <v>47</v>
      </c>
      <c r="G166" s="1" t="s">
        <v>386</v>
      </c>
      <c r="H166" t="s">
        <v>2270</v>
      </c>
      <c r="I166" s="1" t="s">
        <v>17</v>
      </c>
      <c r="J166" s="1" t="s">
        <v>25</v>
      </c>
      <c r="K166" s="1" t="s">
        <v>31</v>
      </c>
      <c r="L166" s="1" t="s">
        <v>91</v>
      </c>
      <c r="M166" s="1" t="s">
        <v>387</v>
      </c>
      <c r="N166" s="1" t="s">
        <v>60</v>
      </c>
      <c r="O166" s="1" t="s">
        <v>2276</v>
      </c>
    </row>
    <row r="167" spans="1:15" x14ac:dyDescent="0.25">
      <c r="A167">
        <v>1143</v>
      </c>
      <c r="B167" s="1" t="s">
        <v>354</v>
      </c>
      <c r="C167" s="1" t="str">
        <f t="shared" si="2"/>
        <v>Quebec</v>
      </c>
      <c r="D167" s="1" t="s">
        <v>73</v>
      </c>
      <c r="E167" s="5">
        <v>52</v>
      </c>
      <c r="F167" s="1" t="s">
        <v>388</v>
      </c>
      <c r="G167" s="1" t="s">
        <v>389</v>
      </c>
      <c r="H167" t="s">
        <v>2270</v>
      </c>
      <c r="I167" s="1" t="s">
        <v>43</v>
      </c>
      <c r="J167" s="1" t="s">
        <v>25</v>
      </c>
      <c r="K167" s="1" t="s">
        <v>19</v>
      </c>
      <c r="L167" s="1" t="s">
        <v>45</v>
      </c>
      <c r="M167" s="1" t="s">
        <v>390</v>
      </c>
      <c r="N167" s="1" t="s">
        <v>22</v>
      </c>
      <c r="O167" s="1" t="s">
        <v>2276</v>
      </c>
    </row>
    <row r="168" spans="1:15" x14ac:dyDescent="0.25">
      <c r="A168">
        <v>1144</v>
      </c>
      <c r="B168" s="1" t="s">
        <v>354</v>
      </c>
      <c r="C168" s="1" t="str">
        <f t="shared" si="2"/>
        <v>Quebec</v>
      </c>
      <c r="D168" s="1" t="s">
        <v>73</v>
      </c>
      <c r="E168" s="5">
        <v>35</v>
      </c>
      <c r="F168" s="1" t="s">
        <v>391</v>
      </c>
      <c r="G168" s="1" t="s">
        <v>392</v>
      </c>
      <c r="H168" t="s">
        <v>2270</v>
      </c>
      <c r="I168" s="1" t="s">
        <v>17</v>
      </c>
      <c r="J168" s="1" t="s">
        <v>25</v>
      </c>
      <c r="K168" s="1" t="s">
        <v>19</v>
      </c>
      <c r="L168" s="1" t="s">
        <v>20</v>
      </c>
      <c r="M168" s="1" t="s">
        <v>393</v>
      </c>
      <c r="N168" s="1" t="s">
        <v>60</v>
      </c>
      <c r="O168" s="1" t="s">
        <v>2276</v>
      </c>
    </row>
    <row r="169" spans="1:15" x14ac:dyDescent="0.25">
      <c r="A169">
        <v>1149</v>
      </c>
      <c r="B169" s="1" t="s">
        <v>354</v>
      </c>
      <c r="C169" s="1" t="str">
        <f t="shared" si="2"/>
        <v>Quebec</v>
      </c>
      <c r="D169" s="1" t="s">
        <v>73</v>
      </c>
      <c r="E169" s="5">
        <v>39</v>
      </c>
      <c r="F169" s="1" t="s">
        <v>394</v>
      </c>
      <c r="G169" s="1" t="s">
        <v>395</v>
      </c>
      <c r="H169" t="s">
        <v>2270</v>
      </c>
      <c r="I169" s="1" t="s">
        <v>17</v>
      </c>
      <c r="J169" s="1" t="s">
        <v>25</v>
      </c>
      <c r="K169" s="1" t="s">
        <v>31</v>
      </c>
      <c r="L169" s="1" t="s">
        <v>91</v>
      </c>
      <c r="M169" s="1" t="s">
        <v>396</v>
      </c>
      <c r="N169" s="1" t="s">
        <v>60</v>
      </c>
      <c r="O169" s="1" t="s">
        <v>2276</v>
      </c>
    </row>
    <row r="170" spans="1:15" x14ac:dyDescent="0.25">
      <c r="A170">
        <v>1150</v>
      </c>
      <c r="B170" s="1" t="s">
        <v>354</v>
      </c>
      <c r="C170" s="1" t="str">
        <f t="shared" si="2"/>
        <v>Quebec</v>
      </c>
      <c r="D170" s="1" t="s">
        <v>73</v>
      </c>
      <c r="E170" s="5">
        <v>51.7</v>
      </c>
      <c r="F170" s="1" t="s">
        <v>32</v>
      </c>
      <c r="G170" s="1" t="s">
        <v>32</v>
      </c>
      <c r="H170" t="s">
        <v>2270</v>
      </c>
      <c r="I170" s="1" t="s">
        <v>17</v>
      </c>
      <c r="J170" s="1" t="s">
        <v>25</v>
      </c>
      <c r="K170" s="1" t="s">
        <v>31</v>
      </c>
      <c r="L170" s="1" t="s">
        <v>91</v>
      </c>
      <c r="M170" s="1" t="s">
        <v>397</v>
      </c>
      <c r="N170" s="1" t="s">
        <v>22</v>
      </c>
      <c r="O170" s="1" t="s">
        <v>2276</v>
      </c>
    </row>
    <row r="171" spans="1:15" x14ac:dyDescent="0.25">
      <c r="A171">
        <v>1151</v>
      </c>
      <c r="B171" s="1" t="s">
        <v>354</v>
      </c>
      <c r="C171" s="1" t="str">
        <f t="shared" si="2"/>
        <v>Quebec</v>
      </c>
      <c r="D171" s="1" t="s">
        <v>73</v>
      </c>
      <c r="E171" s="5">
        <v>47.9</v>
      </c>
      <c r="F171" s="1" t="s">
        <v>32</v>
      </c>
      <c r="G171" s="1" t="s">
        <v>32</v>
      </c>
      <c r="H171" t="s">
        <v>2270</v>
      </c>
      <c r="I171" s="1" t="s">
        <v>17</v>
      </c>
      <c r="J171" s="1" t="s">
        <v>25</v>
      </c>
      <c r="K171" s="1" t="s">
        <v>31</v>
      </c>
      <c r="L171" s="1" t="s">
        <v>91</v>
      </c>
      <c r="M171" s="1" t="s">
        <v>398</v>
      </c>
      <c r="N171" s="1" t="s">
        <v>22</v>
      </c>
      <c r="O171" s="1" t="s">
        <v>2276</v>
      </c>
    </row>
    <row r="172" spans="1:15" x14ac:dyDescent="0.25">
      <c r="A172">
        <v>1152</v>
      </c>
      <c r="B172" s="1" t="s">
        <v>354</v>
      </c>
      <c r="C172" s="1" t="str">
        <f t="shared" si="2"/>
        <v>Quebec</v>
      </c>
      <c r="D172" s="1" t="s">
        <v>73</v>
      </c>
      <c r="E172" s="5">
        <v>31</v>
      </c>
      <c r="F172" s="1" t="s">
        <v>32</v>
      </c>
      <c r="G172" s="1" t="s">
        <v>399</v>
      </c>
      <c r="H172" t="s">
        <v>2270</v>
      </c>
      <c r="I172" s="1" t="s">
        <v>17</v>
      </c>
      <c r="J172" s="1" t="s">
        <v>25</v>
      </c>
      <c r="K172" s="1" t="s">
        <v>31</v>
      </c>
      <c r="L172" s="1" t="s">
        <v>91</v>
      </c>
      <c r="M172" s="1" t="s">
        <v>400</v>
      </c>
      <c r="N172" s="1" t="s">
        <v>60</v>
      </c>
      <c r="O172" s="1" t="s">
        <v>2276</v>
      </c>
    </row>
    <row r="173" spans="1:15" x14ac:dyDescent="0.25">
      <c r="A173">
        <v>1153</v>
      </c>
      <c r="B173" s="1" t="s">
        <v>354</v>
      </c>
      <c r="C173" s="1" t="str">
        <f t="shared" si="2"/>
        <v>Quebec</v>
      </c>
      <c r="D173" s="1" t="s">
        <v>73</v>
      </c>
      <c r="E173" s="5">
        <v>42</v>
      </c>
      <c r="F173" s="1" t="s">
        <v>401</v>
      </c>
      <c r="G173" s="1" t="s">
        <v>402</v>
      </c>
      <c r="H173" t="s">
        <v>2270</v>
      </c>
      <c r="I173" s="1" t="s">
        <v>17</v>
      </c>
      <c r="J173" s="1" t="s">
        <v>25</v>
      </c>
      <c r="K173" s="1" t="s">
        <v>31</v>
      </c>
      <c r="L173" s="1" t="s">
        <v>91</v>
      </c>
      <c r="M173" s="1" t="s">
        <v>403</v>
      </c>
      <c r="N173" s="1" t="s">
        <v>22</v>
      </c>
      <c r="O173" s="1" t="s">
        <v>2276</v>
      </c>
    </row>
    <row r="174" spans="1:15" x14ac:dyDescent="0.25">
      <c r="A174">
        <v>1156</v>
      </c>
      <c r="B174" s="1" t="s">
        <v>354</v>
      </c>
      <c r="C174" s="1" t="str">
        <f t="shared" si="2"/>
        <v>Quebec</v>
      </c>
      <c r="D174" s="1" t="s">
        <v>73</v>
      </c>
      <c r="E174" s="5">
        <v>42</v>
      </c>
      <c r="F174" s="1" t="s">
        <v>404</v>
      </c>
      <c r="G174" s="1" t="s">
        <v>405</v>
      </c>
      <c r="H174" t="s">
        <v>2270</v>
      </c>
      <c r="I174" s="1" t="s">
        <v>17</v>
      </c>
      <c r="J174" s="1" t="s">
        <v>25</v>
      </c>
      <c r="K174" s="1" t="s">
        <v>31</v>
      </c>
      <c r="L174" s="1" t="s">
        <v>91</v>
      </c>
      <c r="M174" s="1" t="s">
        <v>406</v>
      </c>
      <c r="N174" s="1" t="s">
        <v>22</v>
      </c>
      <c r="O174" s="1" t="s">
        <v>2276</v>
      </c>
    </row>
    <row r="175" spans="1:15" x14ac:dyDescent="0.25">
      <c r="A175">
        <v>1157</v>
      </c>
      <c r="B175" s="1" t="s">
        <v>354</v>
      </c>
      <c r="C175" s="1" t="str">
        <f t="shared" si="2"/>
        <v>Quebec</v>
      </c>
      <c r="D175" s="1" t="s">
        <v>73</v>
      </c>
      <c r="E175" s="5">
        <v>42</v>
      </c>
      <c r="F175" s="1" t="s">
        <v>407</v>
      </c>
      <c r="G175" s="1" t="s">
        <v>408</v>
      </c>
      <c r="H175" t="s">
        <v>2270</v>
      </c>
      <c r="I175" s="1" t="s">
        <v>17</v>
      </c>
      <c r="J175" s="1" t="s">
        <v>25</v>
      </c>
      <c r="K175" s="1" t="s">
        <v>31</v>
      </c>
      <c r="L175" s="1" t="s">
        <v>91</v>
      </c>
      <c r="M175" s="1" t="s">
        <v>409</v>
      </c>
      <c r="N175" s="1" t="s">
        <v>22</v>
      </c>
      <c r="O175" s="1" t="s">
        <v>2276</v>
      </c>
    </row>
    <row r="176" spans="1:15" x14ac:dyDescent="0.25">
      <c r="A176">
        <v>1164</v>
      </c>
      <c r="B176" s="1" t="s">
        <v>354</v>
      </c>
      <c r="C176" s="1" t="str">
        <f t="shared" si="2"/>
        <v>Quebec</v>
      </c>
      <c r="D176" s="1" t="s">
        <v>73</v>
      </c>
      <c r="E176" s="5">
        <v>39</v>
      </c>
      <c r="F176" s="1" t="s">
        <v>32</v>
      </c>
      <c r="G176" s="1" t="s">
        <v>410</v>
      </c>
      <c r="H176" t="s">
        <v>2270</v>
      </c>
      <c r="I176" s="1" t="s">
        <v>17</v>
      </c>
      <c r="J176" s="1" t="s">
        <v>25</v>
      </c>
      <c r="K176" s="1" t="s">
        <v>31</v>
      </c>
      <c r="L176" s="1" t="s">
        <v>91</v>
      </c>
      <c r="M176" s="1" t="s">
        <v>411</v>
      </c>
      <c r="N176" s="1" t="s">
        <v>60</v>
      </c>
      <c r="O176" s="1" t="s">
        <v>2276</v>
      </c>
    </row>
    <row r="177" spans="1:15" x14ac:dyDescent="0.25">
      <c r="A177">
        <v>1168</v>
      </c>
      <c r="B177" s="1" t="s">
        <v>354</v>
      </c>
      <c r="C177" s="1" t="str">
        <f t="shared" si="2"/>
        <v>Quebec</v>
      </c>
      <c r="D177" s="1" t="s">
        <v>73</v>
      </c>
      <c r="E177" s="5">
        <v>39</v>
      </c>
      <c r="F177" s="1" t="s">
        <v>412</v>
      </c>
      <c r="G177" s="1" t="s">
        <v>413</v>
      </c>
      <c r="H177" t="s">
        <v>2271</v>
      </c>
      <c r="I177" s="1" t="s">
        <v>17</v>
      </c>
      <c r="J177" s="1" t="s">
        <v>25</v>
      </c>
      <c r="K177" s="1" t="s">
        <v>31</v>
      </c>
      <c r="L177" s="1" t="s">
        <v>91</v>
      </c>
      <c r="M177" s="1" t="s">
        <v>414</v>
      </c>
      <c r="N177" s="1" t="s">
        <v>60</v>
      </c>
      <c r="O177" s="1" t="s">
        <v>2276</v>
      </c>
    </row>
    <row r="178" spans="1:15" x14ac:dyDescent="0.25">
      <c r="A178">
        <v>1171</v>
      </c>
      <c r="B178" s="1" t="s">
        <v>354</v>
      </c>
      <c r="C178" s="1" t="str">
        <f t="shared" si="2"/>
        <v>Quebec</v>
      </c>
      <c r="D178" s="1" t="s">
        <v>73</v>
      </c>
      <c r="E178" s="5">
        <v>39</v>
      </c>
      <c r="F178" s="1" t="s">
        <v>32</v>
      </c>
      <c r="G178" s="1" t="s">
        <v>415</v>
      </c>
      <c r="H178" t="s">
        <v>2271</v>
      </c>
      <c r="I178" s="1" t="s">
        <v>17</v>
      </c>
      <c r="J178" s="1" t="s">
        <v>25</v>
      </c>
      <c r="K178" s="1" t="s">
        <v>31</v>
      </c>
      <c r="L178" s="1" t="s">
        <v>91</v>
      </c>
      <c r="M178" s="1" t="s">
        <v>416</v>
      </c>
      <c r="N178" s="1" t="s">
        <v>60</v>
      </c>
      <c r="O178" s="1" t="s">
        <v>2276</v>
      </c>
    </row>
    <row r="179" spans="1:15" x14ac:dyDescent="0.25">
      <c r="A179">
        <v>1174</v>
      </c>
      <c r="B179" s="1" t="s">
        <v>354</v>
      </c>
      <c r="C179" s="1" t="str">
        <f t="shared" si="2"/>
        <v>Quebec</v>
      </c>
      <c r="D179" s="1" t="s">
        <v>14</v>
      </c>
      <c r="E179" s="5">
        <v>39</v>
      </c>
      <c r="F179" s="1" t="s">
        <v>417</v>
      </c>
      <c r="G179" s="1" t="s">
        <v>418</v>
      </c>
      <c r="H179" t="s">
        <v>2270</v>
      </c>
      <c r="I179" s="1" t="s">
        <v>17</v>
      </c>
      <c r="J179" s="1" t="s">
        <v>25</v>
      </c>
      <c r="K179" s="1" t="s">
        <v>19</v>
      </c>
      <c r="L179" s="1" t="s">
        <v>419</v>
      </c>
      <c r="M179" s="1" t="s">
        <v>420</v>
      </c>
      <c r="N179" s="1" t="s">
        <v>60</v>
      </c>
      <c r="O179" s="1" t="s">
        <v>2276</v>
      </c>
    </row>
    <row r="180" spans="1:15" x14ac:dyDescent="0.25">
      <c r="A180">
        <v>1175</v>
      </c>
      <c r="B180" s="1" t="s">
        <v>354</v>
      </c>
      <c r="C180" s="1" t="str">
        <f t="shared" si="2"/>
        <v>Quebec</v>
      </c>
      <c r="D180" s="1" t="s">
        <v>14</v>
      </c>
      <c r="E180" s="5">
        <v>46</v>
      </c>
      <c r="F180" s="1" t="s">
        <v>421</v>
      </c>
      <c r="G180" s="1" t="s">
        <v>422</v>
      </c>
      <c r="H180" t="s">
        <v>2270</v>
      </c>
      <c r="I180" s="1" t="s">
        <v>24</v>
      </c>
      <c r="J180" s="1" t="s">
        <v>25</v>
      </c>
      <c r="K180" s="1" t="s">
        <v>31</v>
      </c>
      <c r="L180" s="1" t="s">
        <v>32</v>
      </c>
      <c r="M180" s="1" t="s">
        <v>423</v>
      </c>
      <c r="N180" s="1" t="s">
        <v>22</v>
      </c>
      <c r="O180" s="1" t="s">
        <v>2276</v>
      </c>
    </row>
    <row r="181" spans="1:15" x14ac:dyDescent="0.25">
      <c r="A181">
        <v>1176</v>
      </c>
      <c r="B181" s="1" t="s">
        <v>354</v>
      </c>
      <c r="C181" s="1" t="str">
        <f t="shared" si="2"/>
        <v>Quebec</v>
      </c>
      <c r="D181" s="1" t="s">
        <v>14</v>
      </c>
      <c r="E181" s="5">
        <v>39</v>
      </c>
      <c r="F181" s="1" t="s">
        <v>424</v>
      </c>
      <c r="G181" s="1" t="s">
        <v>425</v>
      </c>
      <c r="H181" t="s">
        <v>2270</v>
      </c>
      <c r="I181" s="1" t="s">
        <v>17</v>
      </c>
      <c r="J181" s="1" t="s">
        <v>25</v>
      </c>
      <c r="K181" s="1" t="s">
        <v>31</v>
      </c>
      <c r="L181" s="1" t="s">
        <v>91</v>
      </c>
      <c r="M181" s="1" t="s">
        <v>426</v>
      </c>
      <c r="N181" s="1" t="s">
        <v>60</v>
      </c>
      <c r="O181" s="1" t="s">
        <v>2276</v>
      </c>
    </row>
    <row r="182" spans="1:15" x14ac:dyDescent="0.25">
      <c r="A182">
        <v>1177</v>
      </c>
      <c r="B182" s="1" t="s">
        <v>354</v>
      </c>
      <c r="C182" s="1" t="str">
        <f t="shared" si="2"/>
        <v>Quebec</v>
      </c>
      <c r="D182" s="1" t="s">
        <v>14</v>
      </c>
      <c r="E182" s="5">
        <v>46</v>
      </c>
      <c r="F182" s="1" t="s">
        <v>427</v>
      </c>
      <c r="G182" s="1" t="s">
        <v>428</v>
      </c>
      <c r="H182" t="s">
        <v>2270</v>
      </c>
      <c r="I182" s="1" t="s">
        <v>24</v>
      </c>
      <c r="J182" s="1" t="s">
        <v>25</v>
      </c>
      <c r="K182" s="1" t="s">
        <v>31</v>
      </c>
      <c r="L182" s="1" t="s">
        <v>20</v>
      </c>
      <c r="M182" s="1" t="s">
        <v>429</v>
      </c>
      <c r="N182" s="1" t="s">
        <v>22</v>
      </c>
      <c r="O182" s="1" t="s">
        <v>2276</v>
      </c>
    </row>
    <row r="183" spans="1:15" x14ac:dyDescent="0.25">
      <c r="A183">
        <v>1178</v>
      </c>
      <c r="B183" s="1" t="s">
        <v>354</v>
      </c>
      <c r="C183" s="1" t="str">
        <f t="shared" si="2"/>
        <v>Quebec</v>
      </c>
      <c r="D183" s="1" t="s">
        <v>14</v>
      </c>
      <c r="E183" s="5">
        <v>39</v>
      </c>
      <c r="F183" s="1" t="s">
        <v>430</v>
      </c>
      <c r="G183" s="1" t="s">
        <v>431</v>
      </c>
      <c r="H183" t="s">
        <v>2270</v>
      </c>
      <c r="I183" s="1" t="s">
        <v>17</v>
      </c>
      <c r="J183" s="1" t="s">
        <v>25</v>
      </c>
      <c r="K183" s="1" t="s">
        <v>19</v>
      </c>
      <c r="L183" s="1" t="s">
        <v>20</v>
      </c>
      <c r="M183" s="1" t="s">
        <v>432</v>
      </c>
      <c r="N183" s="1" t="s">
        <v>60</v>
      </c>
      <c r="O183" s="1" t="s">
        <v>2276</v>
      </c>
    </row>
    <row r="184" spans="1:15" x14ac:dyDescent="0.25">
      <c r="A184">
        <v>1179</v>
      </c>
      <c r="B184" s="1" t="s">
        <v>354</v>
      </c>
      <c r="C184" s="1" t="str">
        <f t="shared" si="2"/>
        <v>Quebec</v>
      </c>
      <c r="D184" s="1" t="s">
        <v>14</v>
      </c>
      <c r="E184" s="5">
        <v>37</v>
      </c>
      <c r="F184" s="1" t="s">
        <v>433</v>
      </c>
      <c r="G184" s="1" t="s">
        <v>382</v>
      </c>
      <c r="H184" t="s">
        <v>2270</v>
      </c>
      <c r="I184" s="1" t="s">
        <v>17</v>
      </c>
      <c r="J184" s="1" t="s">
        <v>25</v>
      </c>
      <c r="K184" s="1" t="s">
        <v>19</v>
      </c>
      <c r="L184" s="1" t="s">
        <v>91</v>
      </c>
      <c r="M184" s="1" t="s">
        <v>434</v>
      </c>
      <c r="N184" s="1" t="s">
        <v>60</v>
      </c>
      <c r="O184" s="1" t="s">
        <v>2276</v>
      </c>
    </row>
    <row r="185" spans="1:15" x14ac:dyDescent="0.25">
      <c r="A185">
        <v>1180</v>
      </c>
      <c r="B185" s="1" t="s">
        <v>354</v>
      </c>
      <c r="C185" s="1" t="str">
        <f t="shared" si="2"/>
        <v>Quebec</v>
      </c>
      <c r="D185" s="1" t="s">
        <v>14</v>
      </c>
      <c r="E185" s="5">
        <v>37</v>
      </c>
      <c r="F185" s="1" t="s">
        <v>433</v>
      </c>
      <c r="G185" s="1" t="s">
        <v>382</v>
      </c>
      <c r="H185" t="s">
        <v>2270</v>
      </c>
      <c r="I185" s="1" t="s">
        <v>17</v>
      </c>
      <c r="J185" s="1" t="s">
        <v>25</v>
      </c>
      <c r="K185" s="1" t="s">
        <v>19</v>
      </c>
      <c r="L185" s="1" t="s">
        <v>91</v>
      </c>
      <c r="M185" s="1" t="s">
        <v>435</v>
      </c>
      <c r="N185" s="1" t="s">
        <v>60</v>
      </c>
      <c r="O185" s="1" t="s">
        <v>2276</v>
      </c>
    </row>
    <row r="186" spans="1:15" x14ac:dyDescent="0.25">
      <c r="A186">
        <v>1181</v>
      </c>
      <c r="B186" s="1" t="s">
        <v>354</v>
      </c>
      <c r="C186" s="1" t="str">
        <f t="shared" si="2"/>
        <v>Quebec</v>
      </c>
      <c r="D186" s="1" t="s">
        <v>14</v>
      </c>
      <c r="E186" s="5">
        <v>37</v>
      </c>
      <c r="F186" s="1" t="s">
        <v>433</v>
      </c>
      <c r="G186" s="1" t="s">
        <v>382</v>
      </c>
      <c r="H186" t="s">
        <v>2270</v>
      </c>
      <c r="I186" s="1" t="s">
        <v>17</v>
      </c>
      <c r="J186" s="1" t="s">
        <v>25</v>
      </c>
      <c r="K186" s="1" t="s">
        <v>19</v>
      </c>
      <c r="L186" s="1" t="s">
        <v>91</v>
      </c>
      <c r="M186" s="1" t="s">
        <v>436</v>
      </c>
      <c r="N186" s="1" t="s">
        <v>60</v>
      </c>
      <c r="O186" s="1" t="s">
        <v>2276</v>
      </c>
    </row>
    <row r="187" spans="1:15" x14ac:dyDescent="0.25">
      <c r="A187">
        <v>1182</v>
      </c>
      <c r="B187" s="1" t="s">
        <v>354</v>
      </c>
      <c r="C187" s="1" t="str">
        <f t="shared" si="2"/>
        <v>Quebec</v>
      </c>
      <c r="D187" s="1" t="s">
        <v>73</v>
      </c>
      <c r="E187" s="5">
        <v>48</v>
      </c>
      <c r="F187" s="1" t="s">
        <v>437</v>
      </c>
      <c r="G187" s="1" t="s">
        <v>32</v>
      </c>
      <c r="H187" t="s">
        <v>2271</v>
      </c>
      <c r="I187" s="1" t="s">
        <v>43</v>
      </c>
      <c r="J187" s="1" t="s">
        <v>25</v>
      </c>
      <c r="K187" s="1" t="s">
        <v>19</v>
      </c>
      <c r="L187" s="1" t="s">
        <v>20</v>
      </c>
      <c r="M187" s="1" t="s">
        <v>438</v>
      </c>
      <c r="N187" s="1" t="s">
        <v>22</v>
      </c>
      <c r="O187" s="1" t="s">
        <v>2276</v>
      </c>
    </row>
    <row r="188" spans="1:15" x14ac:dyDescent="0.25">
      <c r="A188">
        <v>1183</v>
      </c>
      <c r="B188" s="1" t="s">
        <v>354</v>
      </c>
      <c r="C188" s="1" t="str">
        <f t="shared" si="2"/>
        <v>Quebec</v>
      </c>
      <c r="D188" s="1" t="s">
        <v>73</v>
      </c>
      <c r="E188" s="5">
        <v>45</v>
      </c>
      <c r="F188" s="1" t="s">
        <v>439</v>
      </c>
      <c r="G188" s="1" t="s">
        <v>440</v>
      </c>
      <c r="H188" t="s">
        <v>2271</v>
      </c>
      <c r="I188" s="1" t="s">
        <v>24</v>
      </c>
      <c r="J188" s="1" t="s">
        <v>25</v>
      </c>
      <c r="K188" s="1" t="s">
        <v>19</v>
      </c>
      <c r="L188" s="1" t="s">
        <v>32</v>
      </c>
      <c r="M188" s="1" t="s">
        <v>441</v>
      </c>
      <c r="N188" s="1" t="s">
        <v>22</v>
      </c>
      <c r="O188" s="1" t="s">
        <v>2276</v>
      </c>
    </row>
    <row r="189" spans="1:15" x14ac:dyDescent="0.25">
      <c r="A189">
        <v>1184</v>
      </c>
      <c r="B189" s="1" t="s">
        <v>354</v>
      </c>
      <c r="C189" s="1" t="str">
        <f t="shared" si="2"/>
        <v>Quebec</v>
      </c>
      <c r="D189" s="1" t="s">
        <v>73</v>
      </c>
      <c r="E189" s="5">
        <v>48</v>
      </c>
      <c r="F189" s="1" t="s">
        <v>442</v>
      </c>
      <c r="G189" s="1" t="s">
        <v>443</v>
      </c>
      <c r="H189" t="s">
        <v>2271</v>
      </c>
      <c r="I189" s="1" t="s">
        <v>24</v>
      </c>
      <c r="J189" s="1" t="s">
        <v>25</v>
      </c>
      <c r="K189" s="1" t="s">
        <v>19</v>
      </c>
      <c r="L189" s="1" t="s">
        <v>20</v>
      </c>
      <c r="M189" s="1" t="s">
        <v>444</v>
      </c>
      <c r="N189" s="1" t="s">
        <v>22</v>
      </c>
      <c r="O189" s="1" t="s">
        <v>2276</v>
      </c>
    </row>
    <row r="190" spans="1:15" x14ac:dyDescent="0.25">
      <c r="A190">
        <v>1185</v>
      </c>
      <c r="B190" s="1" t="s">
        <v>354</v>
      </c>
      <c r="C190" s="1" t="str">
        <f t="shared" si="2"/>
        <v>Quebec</v>
      </c>
      <c r="D190" s="1" t="s">
        <v>14</v>
      </c>
      <c r="E190" s="5">
        <v>45</v>
      </c>
      <c r="F190" s="1" t="s">
        <v>445</v>
      </c>
      <c r="G190" s="1" t="s">
        <v>446</v>
      </c>
      <c r="H190" t="s">
        <v>2270</v>
      </c>
      <c r="I190" s="1" t="s">
        <v>43</v>
      </c>
      <c r="J190" s="1" t="s">
        <v>18</v>
      </c>
      <c r="K190" s="1" t="s">
        <v>19</v>
      </c>
      <c r="L190" s="1" t="s">
        <v>45</v>
      </c>
      <c r="M190" s="1" t="s">
        <v>447</v>
      </c>
      <c r="N190" s="1" t="s">
        <v>60</v>
      </c>
      <c r="O190" s="1" t="s">
        <v>2276</v>
      </c>
    </row>
    <row r="191" spans="1:15" x14ac:dyDescent="0.25">
      <c r="A191">
        <v>1186</v>
      </c>
      <c r="B191" s="1" t="s">
        <v>354</v>
      </c>
      <c r="C191" s="1" t="str">
        <f t="shared" si="2"/>
        <v>Quebec</v>
      </c>
      <c r="D191" s="1" t="s">
        <v>73</v>
      </c>
      <c r="E191" s="5">
        <v>40</v>
      </c>
      <c r="F191" s="1" t="s">
        <v>448</v>
      </c>
      <c r="G191" s="1" t="s">
        <v>449</v>
      </c>
      <c r="H191" t="s">
        <v>2270</v>
      </c>
      <c r="I191" s="1" t="s">
        <v>17</v>
      </c>
      <c r="J191" s="1" t="s">
        <v>25</v>
      </c>
      <c r="K191" s="1" t="s">
        <v>31</v>
      </c>
      <c r="L191" s="1" t="s">
        <v>32</v>
      </c>
      <c r="M191" s="1" t="s">
        <v>450</v>
      </c>
      <c r="N191" s="1" t="s">
        <v>22</v>
      </c>
      <c r="O191" s="1" t="s">
        <v>2276</v>
      </c>
    </row>
    <row r="192" spans="1:15" x14ac:dyDescent="0.25">
      <c r="A192">
        <v>1188</v>
      </c>
      <c r="B192" s="1" t="s">
        <v>354</v>
      </c>
      <c r="C192" s="1" t="str">
        <f t="shared" si="2"/>
        <v>Quebec</v>
      </c>
      <c r="D192" s="1" t="s">
        <v>28</v>
      </c>
      <c r="E192" s="5">
        <v>39</v>
      </c>
      <c r="F192" s="1" t="s">
        <v>451</v>
      </c>
      <c r="G192" s="1" t="s">
        <v>452</v>
      </c>
      <c r="H192" t="s">
        <v>2270</v>
      </c>
      <c r="I192" s="1" t="s">
        <v>17</v>
      </c>
      <c r="J192" s="1" t="s">
        <v>25</v>
      </c>
      <c r="K192" s="1" t="s">
        <v>31</v>
      </c>
      <c r="L192" s="1" t="s">
        <v>91</v>
      </c>
      <c r="M192" s="1" t="s">
        <v>453</v>
      </c>
      <c r="N192" s="1" t="s">
        <v>60</v>
      </c>
      <c r="O192" s="1" t="s">
        <v>2276</v>
      </c>
    </row>
    <row r="193" spans="1:15" x14ac:dyDescent="0.25">
      <c r="A193">
        <v>1194</v>
      </c>
      <c r="B193" s="1" t="s">
        <v>354</v>
      </c>
      <c r="C193" s="1" t="str">
        <f t="shared" si="2"/>
        <v>Quebec</v>
      </c>
      <c r="D193" s="1" t="s">
        <v>73</v>
      </c>
      <c r="E193" s="5">
        <v>37</v>
      </c>
      <c r="F193" s="1" t="s">
        <v>454</v>
      </c>
      <c r="G193" s="1" t="s">
        <v>32</v>
      </c>
      <c r="H193" t="s">
        <v>2270</v>
      </c>
      <c r="I193" s="1" t="s">
        <v>17</v>
      </c>
      <c r="J193" s="1" t="s">
        <v>25</v>
      </c>
      <c r="K193" s="1" t="s">
        <v>31</v>
      </c>
      <c r="L193" s="1" t="s">
        <v>91</v>
      </c>
      <c r="M193" s="1" t="s">
        <v>455</v>
      </c>
      <c r="N193" s="1" t="s">
        <v>60</v>
      </c>
      <c r="O193" s="1" t="s">
        <v>2276</v>
      </c>
    </row>
    <row r="194" spans="1:15" x14ac:dyDescent="0.25">
      <c r="A194">
        <v>1195</v>
      </c>
      <c r="B194" s="1" t="s">
        <v>354</v>
      </c>
      <c r="C194" s="1" t="str">
        <f t="shared" ref="C194:C257" si="3">IF(B194="NB","New Brunswick",IF(B194="AB","Alberta",IF(B194="BC","British Columbia",IF(B194="MB","Manitoba",IF(B194="NL","Newfoundland and Labrador",IF(B194="NS","Nova Scotia",IF(B194="ON","Ontario",IF(B194="PE","Prince Edward Island",IF(B194="QC","Quebec",IF(B194="SK","Saskatchewan",""))))))))))</f>
        <v>Quebec</v>
      </c>
      <c r="D194" s="1" t="s">
        <v>73</v>
      </c>
      <c r="E194" s="5">
        <v>47</v>
      </c>
      <c r="F194" s="1" t="s">
        <v>32</v>
      </c>
      <c r="G194" s="1" t="s">
        <v>32</v>
      </c>
      <c r="H194" t="s">
        <v>2270</v>
      </c>
      <c r="I194" s="1" t="s">
        <v>17</v>
      </c>
      <c r="J194" s="1" t="s">
        <v>25</v>
      </c>
      <c r="K194" s="1" t="s">
        <v>31</v>
      </c>
      <c r="L194" s="1" t="s">
        <v>91</v>
      </c>
      <c r="M194" s="1" t="s">
        <v>456</v>
      </c>
      <c r="N194" s="1" t="s">
        <v>22</v>
      </c>
      <c r="O194" s="1" t="s">
        <v>2276</v>
      </c>
    </row>
    <row r="195" spans="1:15" x14ac:dyDescent="0.25">
      <c r="A195">
        <v>1196</v>
      </c>
      <c r="B195" s="1" t="s">
        <v>354</v>
      </c>
      <c r="C195" s="1" t="str">
        <f t="shared" si="3"/>
        <v>Quebec</v>
      </c>
      <c r="D195" s="1" t="s">
        <v>73</v>
      </c>
      <c r="E195" s="5">
        <v>36</v>
      </c>
      <c r="F195" s="1" t="s">
        <v>457</v>
      </c>
      <c r="G195" s="1" t="s">
        <v>32</v>
      </c>
      <c r="H195" t="s">
        <v>2270</v>
      </c>
      <c r="I195" s="1" t="s">
        <v>17</v>
      </c>
      <c r="J195" s="1" t="s">
        <v>25</v>
      </c>
      <c r="K195" s="1" t="s">
        <v>31</v>
      </c>
      <c r="L195" s="1" t="s">
        <v>91</v>
      </c>
      <c r="M195" s="1" t="s">
        <v>458</v>
      </c>
      <c r="N195" s="1" t="s">
        <v>60</v>
      </c>
      <c r="O195" s="1" t="s">
        <v>2276</v>
      </c>
    </row>
    <row r="196" spans="1:15" x14ac:dyDescent="0.25">
      <c r="A196">
        <v>1197</v>
      </c>
      <c r="B196" s="1" t="s">
        <v>354</v>
      </c>
      <c r="C196" s="1" t="str">
        <f t="shared" si="3"/>
        <v>Quebec</v>
      </c>
      <c r="D196" s="1" t="s">
        <v>73</v>
      </c>
      <c r="E196" s="5">
        <v>39</v>
      </c>
      <c r="F196" s="1" t="s">
        <v>32</v>
      </c>
      <c r="G196" s="1" t="s">
        <v>32</v>
      </c>
      <c r="H196" t="s">
        <v>2270</v>
      </c>
      <c r="I196" s="1" t="s">
        <v>17</v>
      </c>
      <c r="J196" s="1" t="s">
        <v>25</v>
      </c>
      <c r="K196" s="1" t="s">
        <v>31</v>
      </c>
      <c r="L196" s="1" t="s">
        <v>91</v>
      </c>
      <c r="M196" s="1" t="s">
        <v>459</v>
      </c>
      <c r="N196" s="1" t="s">
        <v>60</v>
      </c>
      <c r="O196" s="1" t="s">
        <v>2276</v>
      </c>
    </row>
    <row r="197" spans="1:15" x14ac:dyDescent="0.25">
      <c r="A197">
        <v>1198</v>
      </c>
      <c r="B197" s="1" t="s">
        <v>354</v>
      </c>
      <c r="C197" s="1" t="str">
        <f t="shared" si="3"/>
        <v>Quebec</v>
      </c>
      <c r="D197" s="1" t="s">
        <v>73</v>
      </c>
      <c r="E197" s="5">
        <v>50</v>
      </c>
      <c r="F197" s="1" t="s">
        <v>460</v>
      </c>
      <c r="G197" s="1" t="s">
        <v>449</v>
      </c>
      <c r="H197" t="s">
        <v>2270</v>
      </c>
      <c r="I197" s="1" t="s">
        <v>24</v>
      </c>
      <c r="J197" s="1" t="s">
        <v>25</v>
      </c>
      <c r="K197" s="1" t="s">
        <v>31</v>
      </c>
      <c r="L197" s="1" t="s">
        <v>32</v>
      </c>
      <c r="M197" s="1" t="s">
        <v>461</v>
      </c>
      <c r="N197" s="1" t="s">
        <v>22</v>
      </c>
      <c r="O197" s="1" t="s">
        <v>2276</v>
      </c>
    </row>
    <row r="198" spans="1:15" x14ac:dyDescent="0.25">
      <c r="A198">
        <v>1199</v>
      </c>
      <c r="B198" s="1" t="s">
        <v>354</v>
      </c>
      <c r="C198" s="1" t="str">
        <f t="shared" si="3"/>
        <v>Quebec</v>
      </c>
      <c r="D198" s="1" t="s">
        <v>73</v>
      </c>
      <c r="E198" s="5">
        <v>44</v>
      </c>
      <c r="F198" s="1" t="s">
        <v>32</v>
      </c>
      <c r="G198" s="1" t="s">
        <v>462</v>
      </c>
      <c r="H198" t="s">
        <v>2270</v>
      </c>
      <c r="I198" s="1" t="s">
        <v>24</v>
      </c>
      <c r="J198" s="1" t="s">
        <v>25</v>
      </c>
      <c r="K198" s="1" t="s">
        <v>31</v>
      </c>
      <c r="L198" s="1" t="s">
        <v>91</v>
      </c>
      <c r="M198" s="1" t="s">
        <v>463</v>
      </c>
      <c r="N198" s="1" t="s">
        <v>22</v>
      </c>
      <c r="O198" s="1" t="s">
        <v>2276</v>
      </c>
    </row>
    <row r="199" spans="1:15" x14ac:dyDescent="0.25">
      <c r="A199">
        <v>1200</v>
      </c>
      <c r="B199" s="1" t="s">
        <v>354</v>
      </c>
      <c r="C199" s="1" t="str">
        <f t="shared" si="3"/>
        <v>Quebec</v>
      </c>
      <c r="D199" s="1" t="s">
        <v>14</v>
      </c>
      <c r="E199" s="5">
        <v>53</v>
      </c>
      <c r="F199" s="1" t="s">
        <v>464</v>
      </c>
      <c r="G199" s="1" t="s">
        <v>465</v>
      </c>
      <c r="H199" t="s">
        <v>2271</v>
      </c>
      <c r="I199" s="1" t="s">
        <v>43</v>
      </c>
      <c r="J199" s="1" t="s">
        <v>25</v>
      </c>
      <c r="K199" s="1" t="s">
        <v>31</v>
      </c>
      <c r="L199" s="1" t="s">
        <v>45</v>
      </c>
      <c r="M199" s="1" t="s">
        <v>466</v>
      </c>
      <c r="N199" s="1" t="s">
        <v>22</v>
      </c>
      <c r="O199" s="1" t="s">
        <v>2276</v>
      </c>
    </row>
    <row r="200" spans="1:15" x14ac:dyDescent="0.25">
      <c r="A200">
        <v>1201</v>
      </c>
      <c r="B200" s="1" t="s">
        <v>354</v>
      </c>
      <c r="C200" s="1" t="str">
        <f t="shared" si="3"/>
        <v>Quebec</v>
      </c>
      <c r="D200" s="1" t="s">
        <v>14</v>
      </c>
      <c r="E200" s="5">
        <v>42</v>
      </c>
      <c r="F200" s="1" t="s">
        <v>467</v>
      </c>
      <c r="G200" s="1" t="s">
        <v>468</v>
      </c>
      <c r="H200" t="s">
        <v>2271</v>
      </c>
      <c r="I200" s="1" t="s">
        <v>35</v>
      </c>
      <c r="J200" s="1" t="s">
        <v>25</v>
      </c>
      <c r="K200" s="1" t="s">
        <v>19</v>
      </c>
      <c r="L200" s="1" t="s">
        <v>32</v>
      </c>
      <c r="M200" s="1" t="s">
        <v>469</v>
      </c>
      <c r="N200" s="1" t="s">
        <v>22</v>
      </c>
      <c r="O200" s="1" t="s">
        <v>2276</v>
      </c>
    </row>
    <row r="201" spans="1:15" x14ac:dyDescent="0.25">
      <c r="A201">
        <v>1202</v>
      </c>
      <c r="B201" s="1" t="s">
        <v>354</v>
      </c>
      <c r="C201" s="1" t="str">
        <f t="shared" si="3"/>
        <v>Quebec</v>
      </c>
      <c r="D201" s="1" t="s">
        <v>14</v>
      </c>
      <c r="E201" s="5">
        <v>35</v>
      </c>
      <c r="F201" s="1" t="s">
        <v>470</v>
      </c>
      <c r="G201" s="1" t="s">
        <v>471</v>
      </c>
      <c r="H201" t="s">
        <v>2270</v>
      </c>
      <c r="I201" s="1" t="s">
        <v>24</v>
      </c>
      <c r="J201" s="1" t="s">
        <v>25</v>
      </c>
      <c r="K201" s="1" t="s">
        <v>19</v>
      </c>
      <c r="L201" s="1" t="s">
        <v>20</v>
      </c>
      <c r="M201" s="1" t="s">
        <v>472</v>
      </c>
      <c r="N201" s="1" t="s">
        <v>60</v>
      </c>
      <c r="O201" s="1" t="s">
        <v>2276</v>
      </c>
    </row>
    <row r="202" spans="1:15" x14ac:dyDescent="0.25">
      <c r="A202">
        <v>1203</v>
      </c>
      <c r="B202" s="1" t="s">
        <v>354</v>
      </c>
      <c r="C202" s="1" t="str">
        <f t="shared" si="3"/>
        <v>Quebec</v>
      </c>
      <c r="D202" s="1" t="s">
        <v>14</v>
      </c>
      <c r="E202" s="5">
        <v>35</v>
      </c>
      <c r="F202" s="1" t="s">
        <v>473</v>
      </c>
      <c r="G202" s="1" t="s">
        <v>474</v>
      </c>
      <c r="H202" t="s">
        <v>2270</v>
      </c>
      <c r="I202" s="1" t="s">
        <v>17</v>
      </c>
      <c r="J202" s="1" t="s">
        <v>25</v>
      </c>
      <c r="K202" s="1" t="s">
        <v>19</v>
      </c>
      <c r="L202" s="1" t="s">
        <v>32</v>
      </c>
      <c r="M202" s="1" t="s">
        <v>475</v>
      </c>
      <c r="N202" s="1" t="s">
        <v>60</v>
      </c>
      <c r="O202" s="1" t="s">
        <v>2276</v>
      </c>
    </row>
    <row r="203" spans="1:15" x14ac:dyDescent="0.25">
      <c r="A203">
        <v>1204</v>
      </c>
      <c r="B203" s="1" t="s">
        <v>354</v>
      </c>
      <c r="C203" s="1" t="str">
        <f t="shared" si="3"/>
        <v>Quebec</v>
      </c>
      <c r="D203" s="1" t="s">
        <v>14</v>
      </c>
      <c r="E203" s="5">
        <v>41</v>
      </c>
      <c r="F203" s="1" t="s">
        <v>32</v>
      </c>
      <c r="G203" s="1" t="s">
        <v>476</v>
      </c>
      <c r="H203" t="s">
        <v>2270</v>
      </c>
      <c r="I203" s="1" t="s">
        <v>17</v>
      </c>
      <c r="J203" s="1" t="s">
        <v>25</v>
      </c>
      <c r="K203" s="1" t="s">
        <v>31</v>
      </c>
      <c r="L203" s="1" t="s">
        <v>91</v>
      </c>
      <c r="M203" s="1" t="s">
        <v>477</v>
      </c>
      <c r="N203" s="1" t="s">
        <v>60</v>
      </c>
      <c r="O203" s="1" t="s">
        <v>2276</v>
      </c>
    </row>
    <row r="204" spans="1:15" x14ac:dyDescent="0.25">
      <c r="A204">
        <v>1205</v>
      </c>
      <c r="B204" s="1" t="s">
        <v>354</v>
      </c>
      <c r="C204" s="1" t="str">
        <f t="shared" si="3"/>
        <v>Quebec</v>
      </c>
      <c r="D204" s="1" t="s">
        <v>73</v>
      </c>
      <c r="E204" s="5">
        <v>44</v>
      </c>
      <c r="F204" s="1" t="s">
        <v>478</v>
      </c>
      <c r="G204" s="1" t="s">
        <v>479</v>
      </c>
      <c r="H204" t="s">
        <v>2271</v>
      </c>
      <c r="I204" s="1" t="s">
        <v>17</v>
      </c>
      <c r="J204" s="1" t="s">
        <v>232</v>
      </c>
      <c r="K204" s="1" t="s">
        <v>19</v>
      </c>
      <c r="L204" s="1" t="s">
        <v>20</v>
      </c>
      <c r="M204" s="1" t="s">
        <v>480</v>
      </c>
      <c r="N204" s="1" t="s">
        <v>22</v>
      </c>
      <c r="O204" s="1" t="s">
        <v>2276</v>
      </c>
    </row>
    <row r="205" spans="1:15" x14ac:dyDescent="0.25">
      <c r="A205">
        <v>1206</v>
      </c>
      <c r="B205" s="1" t="s">
        <v>354</v>
      </c>
      <c r="C205" s="1" t="str">
        <f t="shared" si="3"/>
        <v>Quebec</v>
      </c>
      <c r="D205" s="1" t="s">
        <v>73</v>
      </c>
      <c r="E205" s="5">
        <v>45</v>
      </c>
      <c r="F205" s="1" t="s">
        <v>481</v>
      </c>
      <c r="G205" s="1" t="s">
        <v>482</v>
      </c>
      <c r="H205" t="s">
        <v>2271</v>
      </c>
      <c r="I205" s="1" t="s">
        <v>17</v>
      </c>
      <c r="J205" s="1" t="s">
        <v>25</v>
      </c>
      <c r="K205" s="1" t="s">
        <v>19</v>
      </c>
      <c r="L205" s="1" t="s">
        <v>20</v>
      </c>
      <c r="M205" s="1" t="s">
        <v>483</v>
      </c>
      <c r="N205" s="1" t="s">
        <v>60</v>
      </c>
      <c r="O205" s="1" t="s">
        <v>2276</v>
      </c>
    </row>
    <row r="206" spans="1:15" x14ac:dyDescent="0.25">
      <c r="A206">
        <v>1207</v>
      </c>
      <c r="B206" s="1" t="s">
        <v>354</v>
      </c>
      <c r="C206" s="1" t="str">
        <f t="shared" si="3"/>
        <v>Quebec</v>
      </c>
      <c r="D206" s="1" t="s">
        <v>28</v>
      </c>
      <c r="E206" s="5">
        <v>42</v>
      </c>
      <c r="F206" s="1" t="s">
        <v>47</v>
      </c>
      <c r="G206" s="1" t="s">
        <v>484</v>
      </c>
      <c r="H206" t="s">
        <v>2270</v>
      </c>
      <c r="I206" s="1" t="s">
        <v>17</v>
      </c>
      <c r="J206" s="1" t="s">
        <v>25</v>
      </c>
      <c r="K206" s="1" t="s">
        <v>31</v>
      </c>
      <c r="L206" s="1" t="s">
        <v>91</v>
      </c>
      <c r="M206" s="1" t="s">
        <v>485</v>
      </c>
      <c r="N206" s="1" t="s">
        <v>22</v>
      </c>
      <c r="O206" s="1" t="s">
        <v>2276</v>
      </c>
    </row>
    <row r="207" spans="1:15" x14ac:dyDescent="0.25">
      <c r="A207">
        <v>1210</v>
      </c>
      <c r="B207" s="1" t="s">
        <v>354</v>
      </c>
      <c r="C207" s="1" t="str">
        <f t="shared" si="3"/>
        <v>Quebec</v>
      </c>
      <c r="D207" s="1" t="s">
        <v>28</v>
      </c>
      <c r="E207" s="5">
        <v>39</v>
      </c>
      <c r="F207" s="1" t="s">
        <v>486</v>
      </c>
      <c r="G207" s="1" t="s">
        <v>487</v>
      </c>
      <c r="H207" t="s">
        <v>2270</v>
      </c>
      <c r="I207" s="1" t="s">
        <v>17</v>
      </c>
      <c r="J207" s="1" t="s">
        <v>25</v>
      </c>
      <c r="K207" s="1" t="s">
        <v>107</v>
      </c>
      <c r="L207" s="1" t="s">
        <v>91</v>
      </c>
      <c r="M207" s="1" t="s">
        <v>488</v>
      </c>
      <c r="N207" s="1" t="s">
        <v>60</v>
      </c>
      <c r="O207" s="1" t="s">
        <v>2276</v>
      </c>
    </row>
    <row r="208" spans="1:15" x14ac:dyDescent="0.25">
      <c r="A208">
        <v>1211</v>
      </c>
      <c r="B208" s="1" t="s">
        <v>354</v>
      </c>
      <c r="C208" s="1" t="str">
        <f t="shared" si="3"/>
        <v>Quebec</v>
      </c>
      <c r="D208" s="1" t="s">
        <v>28</v>
      </c>
      <c r="E208" s="5">
        <v>50</v>
      </c>
      <c r="F208" s="1" t="s">
        <v>489</v>
      </c>
      <c r="G208" s="1" t="s">
        <v>490</v>
      </c>
      <c r="H208" t="s">
        <v>2270</v>
      </c>
      <c r="I208" s="1" t="s">
        <v>17</v>
      </c>
      <c r="J208" s="1" t="s">
        <v>25</v>
      </c>
      <c r="K208" s="1" t="s">
        <v>31</v>
      </c>
      <c r="L208" s="1" t="s">
        <v>91</v>
      </c>
      <c r="M208" s="1" t="s">
        <v>491</v>
      </c>
      <c r="N208" s="1" t="s">
        <v>22</v>
      </c>
      <c r="O208" s="1" t="s">
        <v>2276</v>
      </c>
    </row>
    <row r="209" spans="1:15" x14ac:dyDescent="0.25">
      <c r="A209">
        <v>1212</v>
      </c>
      <c r="B209" s="1" t="s">
        <v>354</v>
      </c>
      <c r="C209" s="1" t="str">
        <f t="shared" si="3"/>
        <v>Quebec</v>
      </c>
      <c r="D209" s="1" t="s">
        <v>28</v>
      </c>
      <c r="E209" s="5">
        <v>45</v>
      </c>
      <c r="F209" s="1" t="s">
        <v>407</v>
      </c>
      <c r="G209" s="1" t="s">
        <v>492</v>
      </c>
      <c r="H209" t="s">
        <v>2270</v>
      </c>
      <c r="I209" s="1" t="s">
        <v>17</v>
      </c>
      <c r="J209" s="1" t="s">
        <v>25</v>
      </c>
      <c r="K209" s="1" t="s">
        <v>31</v>
      </c>
      <c r="L209" s="1" t="s">
        <v>91</v>
      </c>
      <c r="M209" s="1" t="s">
        <v>493</v>
      </c>
      <c r="N209" s="1" t="s">
        <v>22</v>
      </c>
      <c r="O209" s="1" t="s">
        <v>2276</v>
      </c>
    </row>
    <row r="210" spans="1:15" x14ac:dyDescent="0.25">
      <c r="A210">
        <v>1213</v>
      </c>
      <c r="B210" s="1" t="s">
        <v>354</v>
      </c>
      <c r="C210" s="1" t="str">
        <f t="shared" si="3"/>
        <v>Quebec</v>
      </c>
      <c r="D210" s="1" t="s">
        <v>28</v>
      </c>
      <c r="E210" s="5">
        <v>39</v>
      </c>
      <c r="F210" s="1" t="s">
        <v>494</v>
      </c>
      <c r="G210" s="1" t="s">
        <v>495</v>
      </c>
      <c r="H210" t="s">
        <v>2270</v>
      </c>
      <c r="I210" s="1" t="s">
        <v>17</v>
      </c>
      <c r="J210" s="1" t="s">
        <v>44</v>
      </c>
      <c r="K210" s="1" t="s">
        <v>31</v>
      </c>
      <c r="L210" s="1" t="s">
        <v>32</v>
      </c>
      <c r="M210" s="1" t="s">
        <v>496</v>
      </c>
      <c r="N210" s="1" t="s">
        <v>60</v>
      </c>
      <c r="O210" s="1" t="s">
        <v>2276</v>
      </c>
    </row>
    <row r="211" spans="1:15" x14ac:dyDescent="0.25">
      <c r="A211">
        <v>1215</v>
      </c>
      <c r="B211" s="1" t="s">
        <v>354</v>
      </c>
      <c r="C211" s="1" t="str">
        <f t="shared" si="3"/>
        <v>Quebec</v>
      </c>
      <c r="D211" s="1" t="s">
        <v>73</v>
      </c>
      <c r="E211" s="5">
        <v>63</v>
      </c>
      <c r="F211" s="1" t="s">
        <v>32</v>
      </c>
      <c r="G211" s="1" t="s">
        <v>497</v>
      </c>
      <c r="H211" t="s">
        <v>2270</v>
      </c>
      <c r="I211" s="1" t="s">
        <v>43</v>
      </c>
      <c r="J211" s="1" t="s">
        <v>44</v>
      </c>
      <c r="K211" s="1" t="s">
        <v>31</v>
      </c>
      <c r="L211" s="1" t="s">
        <v>91</v>
      </c>
      <c r="M211" s="1" t="s">
        <v>498</v>
      </c>
      <c r="N211" s="1" t="s">
        <v>22</v>
      </c>
      <c r="O211" s="1" t="s">
        <v>2276</v>
      </c>
    </row>
    <row r="212" spans="1:15" x14ac:dyDescent="0.25">
      <c r="A212">
        <v>1216</v>
      </c>
      <c r="B212" s="1" t="s">
        <v>354</v>
      </c>
      <c r="C212" s="1" t="str">
        <f t="shared" si="3"/>
        <v>Quebec</v>
      </c>
      <c r="D212" s="1" t="s">
        <v>73</v>
      </c>
      <c r="E212" s="5">
        <v>40</v>
      </c>
      <c r="F212" s="1" t="s">
        <v>375</v>
      </c>
      <c r="G212" s="1" t="s">
        <v>499</v>
      </c>
      <c r="H212" t="s">
        <v>2270</v>
      </c>
      <c r="I212" s="1" t="s">
        <v>17</v>
      </c>
      <c r="J212" s="1" t="s">
        <v>44</v>
      </c>
      <c r="K212" s="1" t="s">
        <v>31</v>
      </c>
      <c r="L212" s="1" t="s">
        <v>32</v>
      </c>
      <c r="M212" s="1" t="s">
        <v>500</v>
      </c>
      <c r="N212" s="1" t="s">
        <v>60</v>
      </c>
      <c r="O212" s="1" t="s">
        <v>2276</v>
      </c>
    </row>
    <row r="213" spans="1:15" x14ac:dyDescent="0.25">
      <c r="A213">
        <v>1217</v>
      </c>
      <c r="B213" s="1" t="s">
        <v>354</v>
      </c>
      <c r="C213" s="1" t="str">
        <f t="shared" si="3"/>
        <v>Quebec</v>
      </c>
      <c r="D213" s="1" t="s">
        <v>73</v>
      </c>
      <c r="E213" s="5">
        <v>45</v>
      </c>
      <c r="F213" s="1" t="s">
        <v>501</v>
      </c>
      <c r="G213" s="1" t="s">
        <v>32</v>
      </c>
      <c r="H213" t="s">
        <v>2270</v>
      </c>
      <c r="I213" s="1" t="s">
        <v>40</v>
      </c>
      <c r="J213" s="1" t="s">
        <v>44</v>
      </c>
      <c r="K213" s="1" t="s">
        <v>31</v>
      </c>
      <c r="L213" s="1" t="s">
        <v>91</v>
      </c>
      <c r="M213" s="1" t="s">
        <v>502</v>
      </c>
      <c r="N213" s="1" t="s">
        <v>22</v>
      </c>
      <c r="O213" s="1" t="s">
        <v>2276</v>
      </c>
    </row>
    <row r="214" spans="1:15" x14ac:dyDescent="0.25">
      <c r="A214">
        <v>1218</v>
      </c>
      <c r="B214" s="1" t="s">
        <v>354</v>
      </c>
      <c r="C214" s="1" t="str">
        <f t="shared" si="3"/>
        <v>Quebec</v>
      </c>
      <c r="D214" s="1" t="s">
        <v>73</v>
      </c>
      <c r="E214" s="5">
        <v>58</v>
      </c>
      <c r="F214" s="1" t="s">
        <v>32</v>
      </c>
      <c r="G214" s="1" t="s">
        <v>503</v>
      </c>
      <c r="H214" t="s">
        <v>2270</v>
      </c>
      <c r="I214" s="1" t="s">
        <v>43</v>
      </c>
      <c r="J214" s="1" t="s">
        <v>44</v>
      </c>
      <c r="K214" s="1" t="s">
        <v>31</v>
      </c>
      <c r="L214" s="1" t="s">
        <v>91</v>
      </c>
      <c r="M214" s="1" t="s">
        <v>504</v>
      </c>
      <c r="N214" s="1" t="s">
        <v>22</v>
      </c>
      <c r="O214" s="1" t="s">
        <v>2276</v>
      </c>
    </row>
    <row r="215" spans="1:15" x14ac:dyDescent="0.25">
      <c r="A215">
        <v>1219</v>
      </c>
      <c r="B215" s="1" t="s">
        <v>354</v>
      </c>
      <c r="C215" s="1" t="str">
        <f t="shared" si="3"/>
        <v>Quebec</v>
      </c>
      <c r="D215" s="1" t="s">
        <v>73</v>
      </c>
      <c r="E215" s="5">
        <v>58</v>
      </c>
      <c r="F215" s="1" t="s">
        <v>32</v>
      </c>
      <c r="G215" s="1" t="s">
        <v>503</v>
      </c>
      <c r="H215" t="s">
        <v>2270</v>
      </c>
      <c r="I215" s="1" t="s">
        <v>43</v>
      </c>
      <c r="J215" s="1" t="s">
        <v>44</v>
      </c>
      <c r="K215" s="1" t="s">
        <v>31</v>
      </c>
      <c r="L215" s="1" t="s">
        <v>91</v>
      </c>
      <c r="M215" s="1" t="s">
        <v>505</v>
      </c>
      <c r="N215" s="1" t="s">
        <v>22</v>
      </c>
      <c r="O215" s="1" t="s">
        <v>2276</v>
      </c>
    </row>
    <row r="216" spans="1:15" x14ac:dyDescent="0.25">
      <c r="A216">
        <v>1220</v>
      </c>
      <c r="B216" s="1" t="s">
        <v>354</v>
      </c>
      <c r="C216" s="1" t="str">
        <f t="shared" si="3"/>
        <v>Quebec</v>
      </c>
      <c r="D216" s="1" t="s">
        <v>73</v>
      </c>
      <c r="E216" s="5">
        <v>45</v>
      </c>
      <c r="F216" s="1" t="s">
        <v>506</v>
      </c>
      <c r="G216" s="1" t="s">
        <v>507</v>
      </c>
      <c r="H216" t="s">
        <v>2270</v>
      </c>
      <c r="I216" s="1" t="s">
        <v>40</v>
      </c>
      <c r="J216" s="1" t="s">
        <v>44</v>
      </c>
      <c r="K216" s="1" t="s">
        <v>31</v>
      </c>
      <c r="L216" s="1" t="s">
        <v>91</v>
      </c>
      <c r="M216" s="1" t="s">
        <v>508</v>
      </c>
      <c r="N216" s="1" t="s">
        <v>22</v>
      </c>
      <c r="O216" s="1" t="s">
        <v>2276</v>
      </c>
    </row>
    <row r="217" spans="1:15" x14ac:dyDescent="0.25">
      <c r="A217">
        <v>1221</v>
      </c>
      <c r="B217" s="1" t="s">
        <v>354</v>
      </c>
      <c r="C217" s="1" t="str">
        <f t="shared" si="3"/>
        <v>Quebec</v>
      </c>
      <c r="D217" s="1" t="s">
        <v>73</v>
      </c>
      <c r="E217" s="5">
        <v>39</v>
      </c>
      <c r="F217" s="1" t="s">
        <v>509</v>
      </c>
      <c r="G217" s="1" t="s">
        <v>510</v>
      </c>
      <c r="H217" t="s">
        <v>2270</v>
      </c>
      <c r="I217" s="1" t="s">
        <v>17</v>
      </c>
      <c r="J217" s="1" t="s">
        <v>25</v>
      </c>
      <c r="K217" s="1" t="s">
        <v>31</v>
      </c>
      <c r="L217" s="1" t="s">
        <v>91</v>
      </c>
      <c r="M217" s="1" t="s">
        <v>511</v>
      </c>
      <c r="N217" s="1" t="s">
        <v>60</v>
      </c>
      <c r="O217" s="1" t="s">
        <v>2276</v>
      </c>
    </row>
    <row r="218" spans="1:15" x14ac:dyDescent="0.25">
      <c r="A218">
        <v>1222</v>
      </c>
      <c r="B218" s="1" t="s">
        <v>354</v>
      </c>
      <c r="C218" s="1" t="str">
        <f t="shared" si="3"/>
        <v>Quebec</v>
      </c>
      <c r="D218" s="1" t="s">
        <v>73</v>
      </c>
      <c r="E218" s="5">
        <v>39</v>
      </c>
      <c r="F218" s="1" t="s">
        <v>512</v>
      </c>
      <c r="G218" s="1" t="s">
        <v>32</v>
      </c>
      <c r="H218" t="s">
        <v>2270</v>
      </c>
      <c r="I218" s="1" t="s">
        <v>17</v>
      </c>
      <c r="J218" s="1" t="s">
        <v>25</v>
      </c>
      <c r="K218" s="1" t="s">
        <v>31</v>
      </c>
      <c r="L218" s="1" t="s">
        <v>91</v>
      </c>
      <c r="M218" s="1" t="s">
        <v>513</v>
      </c>
      <c r="N218" s="1" t="s">
        <v>60</v>
      </c>
      <c r="O218" s="1" t="s">
        <v>2276</v>
      </c>
    </row>
    <row r="219" spans="1:15" x14ac:dyDescent="0.25">
      <c r="A219">
        <v>1223</v>
      </c>
      <c r="B219" s="1" t="s">
        <v>354</v>
      </c>
      <c r="C219" s="1" t="str">
        <f t="shared" si="3"/>
        <v>Quebec</v>
      </c>
      <c r="D219" s="1" t="s">
        <v>73</v>
      </c>
      <c r="E219" s="5">
        <v>39</v>
      </c>
      <c r="F219" s="1" t="s">
        <v>514</v>
      </c>
      <c r="G219" s="1" t="s">
        <v>32</v>
      </c>
      <c r="H219" t="s">
        <v>2270</v>
      </c>
      <c r="I219" s="1" t="s">
        <v>17</v>
      </c>
      <c r="J219" s="1" t="s">
        <v>25</v>
      </c>
      <c r="K219" s="1" t="s">
        <v>31</v>
      </c>
      <c r="L219" s="1" t="s">
        <v>91</v>
      </c>
      <c r="M219" s="1" t="s">
        <v>515</v>
      </c>
      <c r="N219" s="1" t="s">
        <v>60</v>
      </c>
      <c r="O219" s="1" t="s">
        <v>2276</v>
      </c>
    </row>
    <row r="220" spans="1:15" x14ac:dyDescent="0.25">
      <c r="A220">
        <v>1224</v>
      </c>
      <c r="B220" s="1" t="s">
        <v>354</v>
      </c>
      <c r="C220" s="1" t="str">
        <f t="shared" si="3"/>
        <v>Quebec</v>
      </c>
      <c r="D220" s="1" t="s">
        <v>73</v>
      </c>
      <c r="E220" s="5">
        <v>45</v>
      </c>
      <c r="F220" s="1" t="s">
        <v>407</v>
      </c>
      <c r="G220" s="1" t="s">
        <v>516</v>
      </c>
      <c r="H220" t="s">
        <v>2270</v>
      </c>
      <c r="I220" s="1" t="s">
        <v>17</v>
      </c>
      <c r="J220" s="1" t="s">
        <v>25</v>
      </c>
      <c r="K220" s="1" t="s">
        <v>31</v>
      </c>
      <c r="L220" s="1" t="s">
        <v>91</v>
      </c>
      <c r="M220" s="1" t="s">
        <v>517</v>
      </c>
      <c r="N220" s="1" t="s">
        <v>22</v>
      </c>
      <c r="O220" s="1" t="s">
        <v>2276</v>
      </c>
    </row>
    <row r="221" spans="1:15" x14ac:dyDescent="0.25">
      <c r="A221">
        <v>1225</v>
      </c>
      <c r="B221" s="1" t="s">
        <v>354</v>
      </c>
      <c r="C221" s="1" t="str">
        <f t="shared" si="3"/>
        <v>Quebec</v>
      </c>
      <c r="D221" s="1" t="s">
        <v>73</v>
      </c>
      <c r="E221" s="5">
        <v>38</v>
      </c>
      <c r="F221" s="1" t="s">
        <v>518</v>
      </c>
      <c r="G221" s="1" t="s">
        <v>519</v>
      </c>
      <c r="H221" t="s">
        <v>2270</v>
      </c>
      <c r="I221" s="1" t="s">
        <v>17</v>
      </c>
      <c r="J221" s="1" t="s">
        <v>44</v>
      </c>
      <c r="K221" s="1" t="s">
        <v>31</v>
      </c>
      <c r="L221" s="1" t="s">
        <v>32</v>
      </c>
      <c r="M221" s="1" t="s">
        <v>520</v>
      </c>
      <c r="N221" s="1" t="s">
        <v>22</v>
      </c>
      <c r="O221" s="1" t="s">
        <v>2276</v>
      </c>
    </row>
    <row r="222" spans="1:15" x14ac:dyDescent="0.25">
      <c r="A222">
        <v>1226</v>
      </c>
      <c r="B222" s="1" t="s">
        <v>354</v>
      </c>
      <c r="C222" s="1" t="str">
        <f t="shared" si="3"/>
        <v>Quebec</v>
      </c>
      <c r="D222" s="1" t="s">
        <v>73</v>
      </c>
      <c r="E222" s="5">
        <v>33</v>
      </c>
      <c r="F222" s="1" t="s">
        <v>521</v>
      </c>
      <c r="G222" s="1" t="s">
        <v>522</v>
      </c>
      <c r="H222" t="s">
        <v>2270</v>
      </c>
      <c r="I222" s="1" t="s">
        <v>17</v>
      </c>
      <c r="J222" s="1" t="s">
        <v>44</v>
      </c>
      <c r="K222" s="1" t="s">
        <v>31</v>
      </c>
      <c r="L222" s="1" t="s">
        <v>32</v>
      </c>
      <c r="M222" s="1" t="s">
        <v>523</v>
      </c>
      <c r="N222" s="1" t="s">
        <v>60</v>
      </c>
      <c r="O222" s="1" t="s">
        <v>2276</v>
      </c>
    </row>
    <row r="223" spans="1:15" x14ac:dyDescent="0.25">
      <c r="A223">
        <v>1227</v>
      </c>
      <c r="B223" s="1" t="s">
        <v>354</v>
      </c>
      <c r="C223" s="1" t="str">
        <f t="shared" si="3"/>
        <v>Quebec</v>
      </c>
      <c r="D223" s="1" t="s">
        <v>73</v>
      </c>
      <c r="E223" s="5">
        <v>60</v>
      </c>
      <c r="F223" s="1" t="s">
        <v>524</v>
      </c>
      <c r="G223" s="1" t="s">
        <v>525</v>
      </c>
      <c r="H223" t="s">
        <v>2270</v>
      </c>
      <c r="I223" s="1" t="s">
        <v>24</v>
      </c>
      <c r="J223" s="1" t="s">
        <v>526</v>
      </c>
      <c r="K223" s="1" t="s">
        <v>31</v>
      </c>
      <c r="L223" s="1" t="s">
        <v>91</v>
      </c>
      <c r="M223" s="1" t="s">
        <v>527</v>
      </c>
      <c r="N223" s="1" t="s">
        <v>22</v>
      </c>
      <c r="O223" s="1" t="s">
        <v>2276</v>
      </c>
    </row>
    <row r="224" spans="1:15" x14ac:dyDescent="0.25">
      <c r="A224">
        <v>1228</v>
      </c>
      <c r="B224" s="1" t="s">
        <v>354</v>
      </c>
      <c r="C224" s="1" t="str">
        <f t="shared" si="3"/>
        <v>Quebec</v>
      </c>
      <c r="D224" s="1" t="s">
        <v>73</v>
      </c>
      <c r="E224" s="5">
        <v>36</v>
      </c>
      <c r="F224" s="1" t="s">
        <v>528</v>
      </c>
      <c r="G224" s="1" t="s">
        <v>529</v>
      </c>
      <c r="H224" t="s">
        <v>2270</v>
      </c>
      <c r="I224" s="1" t="s">
        <v>17</v>
      </c>
      <c r="J224" s="1" t="s">
        <v>526</v>
      </c>
      <c r="K224" s="1" t="s">
        <v>31</v>
      </c>
      <c r="L224" s="1" t="s">
        <v>32</v>
      </c>
      <c r="M224" s="1" t="s">
        <v>530</v>
      </c>
      <c r="N224" s="1" t="s">
        <v>60</v>
      </c>
      <c r="O224" s="1" t="s">
        <v>2276</v>
      </c>
    </row>
    <row r="225" spans="1:15" x14ac:dyDescent="0.25">
      <c r="A225">
        <v>1229</v>
      </c>
      <c r="B225" s="1" t="s">
        <v>354</v>
      </c>
      <c r="C225" s="1" t="str">
        <f t="shared" si="3"/>
        <v>Quebec</v>
      </c>
      <c r="D225" s="1" t="s">
        <v>73</v>
      </c>
      <c r="E225" s="5">
        <v>60</v>
      </c>
      <c r="F225" s="1" t="s">
        <v>531</v>
      </c>
      <c r="G225" s="1" t="s">
        <v>532</v>
      </c>
      <c r="H225" t="s">
        <v>2270</v>
      </c>
      <c r="I225" s="1" t="s">
        <v>40</v>
      </c>
      <c r="J225" s="1" t="s">
        <v>44</v>
      </c>
      <c r="K225" s="1" t="s">
        <v>31</v>
      </c>
      <c r="L225" s="1" t="s">
        <v>91</v>
      </c>
      <c r="M225" s="1" t="s">
        <v>533</v>
      </c>
      <c r="N225" s="1" t="s">
        <v>22</v>
      </c>
      <c r="O225" s="1" t="s">
        <v>2276</v>
      </c>
    </row>
    <row r="226" spans="1:15" x14ac:dyDescent="0.25">
      <c r="A226">
        <v>1231</v>
      </c>
      <c r="B226" s="1" t="s">
        <v>354</v>
      </c>
      <c r="C226" s="1" t="str">
        <f t="shared" si="3"/>
        <v>Quebec</v>
      </c>
      <c r="D226" s="1" t="s">
        <v>73</v>
      </c>
      <c r="E226" s="5">
        <v>33</v>
      </c>
      <c r="F226" s="1" t="s">
        <v>534</v>
      </c>
      <c r="G226" s="1" t="s">
        <v>535</v>
      </c>
      <c r="H226" t="s">
        <v>2270</v>
      </c>
      <c r="I226" s="1" t="s">
        <v>17</v>
      </c>
      <c r="J226" s="1" t="s">
        <v>44</v>
      </c>
      <c r="K226" s="1" t="s">
        <v>31</v>
      </c>
      <c r="L226" s="1" t="s">
        <v>91</v>
      </c>
      <c r="M226" s="1" t="s">
        <v>536</v>
      </c>
      <c r="N226" s="1" t="s">
        <v>60</v>
      </c>
      <c r="O226" s="1" t="s">
        <v>2276</v>
      </c>
    </row>
    <row r="227" spans="1:15" x14ac:dyDescent="0.25">
      <c r="A227">
        <v>1240</v>
      </c>
      <c r="B227" s="1" t="s">
        <v>354</v>
      </c>
      <c r="C227" s="1" t="str">
        <f t="shared" si="3"/>
        <v>Quebec</v>
      </c>
      <c r="D227" s="1" t="s">
        <v>14</v>
      </c>
      <c r="E227" s="5">
        <v>70</v>
      </c>
      <c r="F227" s="1" t="s">
        <v>537</v>
      </c>
      <c r="G227" s="1" t="s">
        <v>538</v>
      </c>
      <c r="H227" t="s">
        <v>2270</v>
      </c>
      <c r="I227" s="1" t="s">
        <v>40</v>
      </c>
      <c r="J227" s="1" t="s">
        <v>44</v>
      </c>
      <c r="K227" s="1" t="s">
        <v>31</v>
      </c>
      <c r="L227" s="1" t="s">
        <v>91</v>
      </c>
      <c r="M227" s="1" t="s">
        <v>539</v>
      </c>
      <c r="N227" s="1" t="s">
        <v>22</v>
      </c>
      <c r="O227" s="1" t="s">
        <v>2276</v>
      </c>
    </row>
    <row r="228" spans="1:15" x14ac:dyDescent="0.25">
      <c r="A228">
        <v>1241</v>
      </c>
      <c r="B228" s="1" t="s">
        <v>354</v>
      </c>
      <c r="C228" s="1" t="str">
        <f t="shared" si="3"/>
        <v>Quebec</v>
      </c>
      <c r="D228" s="1" t="s">
        <v>14</v>
      </c>
      <c r="E228" s="5">
        <v>70</v>
      </c>
      <c r="F228" s="1" t="s">
        <v>540</v>
      </c>
      <c r="G228" s="1" t="s">
        <v>32</v>
      </c>
      <c r="H228" t="s">
        <v>2270</v>
      </c>
      <c r="I228" s="1" t="s">
        <v>40</v>
      </c>
      <c r="J228" s="1" t="s">
        <v>44</v>
      </c>
      <c r="K228" s="1" t="s">
        <v>31</v>
      </c>
      <c r="L228" s="1" t="s">
        <v>91</v>
      </c>
      <c r="M228" s="1" t="s">
        <v>541</v>
      </c>
      <c r="N228" s="1" t="s">
        <v>22</v>
      </c>
      <c r="O228" s="1" t="s">
        <v>2276</v>
      </c>
    </row>
    <row r="229" spans="1:15" x14ac:dyDescent="0.25">
      <c r="A229">
        <v>1242</v>
      </c>
      <c r="B229" s="1" t="s">
        <v>354</v>
      </c>
      <c r="C229" s="1" t="str">
        <f t="shared" si="3"/>
        <v>Quebec</v>
      </c>
      <c r="D229" s="1" t="s">
        <v>14</v>
      </c>
      <c r="E229" s="5">
        <v>56</v>
      </c>
      <c r="F229" s="1" t="s">
        <v>542</v>
      </c>
      <c r="G229" s="1" t="s">
        <v>543</v>
      </c>
      <c r="H229" t="s">
        <v>2271</v>
      </c>
      <c r="I229" s="1" t="s">
        <v>43</v>
      </c>
      <c r="J229" s="1" t="s">
        <v>44</v>
      </c>
      <c r="K229" s="1" t="s">
        <v>31</v>
      </c>
      <c r="L229" s="1" t="s">
        <v>91</v>
      </c>
      <c r="M229" s="1" t="s">
        <v>544</v>
      </c>
      <c r="N229" s="1" t="s">
        <v>22</v>
      </c>
      <c r="O229" s="1" t="s">
        <v>2276</v>
      </c>
    </row>
    <row r="230" spans="1:15" x14ac:dyDescent="0.25">
      <c r="A230">
        <v>1243</v>
      </c>
      <c r="B230" s="1" t="s">
        <v>354</v>
      </c>
      <c r="C230" s="1" t="str">
        <f t="shared" si="3"/>
        <v>Quebec</v>
      </c>
      <c r="D230" s="1" t="s">
        <v>14</v>
      </c>
      <c r="E230" s="5">
        <v>48</v>
      </c>
      <c r="F230" s="1" t="s">
        <v>545</v>
      </c>
      <c r="G230" s="1" t="s">
        <v>546</v>
      </c>
      <c r="H230" t="s">
        <v>2271</v>
      </c>
      <c r="I230" s="1" t="s">
        <v>43</v>
      </c>
      <c r="J230" s="1" t="s">
        <v>44</v>
      </c>
      <c r="K230" s="1" t="s">
        <v>31</v>
      </c>
      <c r="L230" s="1" t="s">
        <v>32</v>
      </c>
      <c r="M230" s="1" t="s">
        <v>547</v>
      </c>
      <c r="N230" s="1" t="s">
        <v>22</v>
      </c>
      <c r="O230" s="1" t="s">
        <v>2276</v>
      </c>
    </row>
    <row r="231" spans="1:15" x14ac:dyDescent="0.25">
      <c r="A231">
        <v>1244</v>
      </c>
      <c r="B231" s="1" t="s">
        <v>354</v>
      </c>
      <c r="C231" s="1" t="str">
        <f t="shared" si="3"/>
        <v>Quebec</v>
      </c>
      <c r="D231" s="1" t="s">
        <v>14</v>
      </c>
      <c r="E231" s="5">
        <v>56</v>
      </c>
      <c r="F231" s="1" t="s">
        <v>32</v>
      </c>
      <c r="G231" s="1" t="s">
        <v>548</v>
      </c>
      <c r="H231" t="s">
        <v>2271</v>
      </c>
      <c r="I231" s="1" t="s">
        <v>43</v>
      </c>
      <c r="J231" s="1" t="s">
        <v>44</v>
      </c>
      <c r="K231" s="1" t="s">
        <v>31</v>
      </c>
      <c r="L231" s="1" t="s">
        <v>91</v>
      </c>
      <c r="M231" s="1" t="s">
        <v>549</v>
      </c>
      <c r="N231" s="1" t="s">
        <v>22</v>
      </c>
      <c r="O231" s="1" t="s">
        <v>2276</v>
      </c>
    </row>
    <row r="232" spans="1:15" x14ac:dyDescent="0.25">
      <c r="A232">
        <v>1245</v>
      </c>
      <c r="B232" s="1" t="s">
        <v>354</v>
      </c>
      <c r="C232" s="1" t="str">
        <f t="shared" si="3"/>
        <v>Quebec</v>
      </c>
      <c r="D232" s="1" t="s">
        <v>14</v>
      </c>
      <c r="E232" s="5">
        <v>45</v>
      </c>
      <c r="F232" s="1" t="s">
        <v>550</v>
      </c>
      <c r="G232" s="1" t="s">
        <v>551</v>
      </c>
      <c r="H232" t="s">
        <v>2271</v>
      </c>
      <c r="I232" s="1" t="s">
        <v>24</v>
      </c>
      <c r="J232" s="1" t="s">
        <v>44</v>
      </c>
      <c r="K232" s="1" t="s">
        <v>31</v>
      </c>
      <c r="L232" s="1" t="s">
        <v>20</v>
      </c>
      <c r="M232" s="1" t="s">
        <v>552</v>
      </c>
      <c r="N232" s="1" t="s">
        <v>22</v>
      </c>
      <c r="O232" s="1" t="s">
        <v>2276</v>
      </c>
    </row>
    <row r="233" spans="1:15" x14ac:dyDescent="0.25">
      <c r="A233">
        <v>1246</v>
      </c>
      <c r="B233" s="1" t="s">
        <v>354</v>
      </c>
      <c r="C233" s="1" t="str">
        <f t="shared" si="3"/>
        <v>Quebec</v>
      </c>
      <c r="D233" s="1" t="s">
        <v>14</v>
      </c>
      <c r="E233" s="5">
        <v>42</v>
      </c>
      <c r="F233" s="1" t="s">
        <v>32</v>
      </c>
      <c r="G233" s="1" t="s">
        <v>553</v>
      </c>
      <c r="H233" t="s">
        <v>2271</v>
      </c>
      <c r="I233" s="1" t="s">
        <v>17</v>
      </c>
      <c r="J233" s="1" t="s">
        <v>44</v>
      </c>
      <c r="K233" s="1" t="s">
        <v>31</v>
      </c>
      <c r="L233" s="1" t="s">
        <v>91</v>
      </c>
      <c r="M233" s="1" t="s">
        <v>554</v>
      </c>
      <c r="N233" s="1" t="s">
        <v>22</v>
      </c>
      <c r="O233" s="1" t="s">
        <v>2276</v>
      </c>
    </row>
    <row r="234" spans="1:15" x14ac:dyDescent="0.25">
      <c r="A234">
        <v>1248</v>
      </c>
      <c r="B234" s="1" t="s">
        <v>354</v>
      </c>
      <c r="C234" s="1" t="str">
        <f t="shared" si="3"/>
        <v>Quebec</v>
      </c>
      <c r="D234" s="1" t="s">
        <v>73</v>
      </c>
      <c r="E234" s="5">
        <v>46</v>
      </c>
      <c r="F234" s="1" t="s">
        <v>555</v>
      </c>
      <c r="G234" s="1" t="s">
        <v>556</v>
      </c>
      <c r="H234" t="s">
        <v>2270</v>
      </c>
      <c r="I234" s="1" t="s">
        <v>43</v>
      </c>
      <c r="J234" s="1" t="s">
        <v>234</v>
      </c>
      <c r="K234" s="1" t="s">
        <v>31</v>
      </c>
      <c r="L234" s="1" t="s">
        <v>20</v>
      </c>
      <c r="M234" s="1" t="s">
        <v>557</v>
      </c>
      <c r="N234" s="1" t="s">
        <v>60</v>
      </c>
      <c r="O234" s="1" t="s">
        <v>2276</v>
      </c>
    </row>
    <row r="235" spans="1:15" x14ac:dyDescent="0.25">
      <c r="A235">
        <v>1249</v>
      </c>
      <c r="B235" s="1" t="s">
        <v>354</v>
      </c>
      <c r="C235" s="1" t="str">
        <f t="shared" si="3"/>
        <v>Quebec</v>
      </c>
      <c r="D235" s="1" t="s">
        <v>73</v>
      </c>
      <c r="E235" s="5">
        <v>52</v>
      </c>
      <c r="F235" s="1" t="s">
        <v>558</v>
      </c>
      <c r="G235" s="1" t="s">
        <v>559</v>
      </c>
      <c r="H235" t="s">
        <v>2270</v>
      </c>
      <c r="I235" s="1" t="s">
        <v>43</v>
      </c>
      <c r="J235" s="1" t="s">
        <v>44</v>
      </c>
      <c r="K235" s="1" t="s">
        <v>31</v>
      </c>
      <c r="L235" s="1" t="s">
        <v>20</v>
      </c>
      <c r="M235" s="1" t="s">
        <v>560</v>
      </c>
      <c r="N235" s="1" t="s">
        <v>22</v>
      </c>
      <c r="O235" s="1" t="s">
        <v>2276</v>
      </c>
    </row>
    <row r="236" spans="1:15" x14ac:dyDescent="0.25">
      <c r="A236">
        <v>1250</v>
      </c>
      <c r="B236" s="1" t="s">
        <v>354</v>
      </c>
      <c r="C236" s="1" t="str">
        <f t="shared" si="3"/>
        <v>Quebec</v>
      </c>
      <c r="D236" s="1" t="s">
        <v>73</v>
      </c>
      <c r="E236" s="5">
        <v>50</v>
      </c>
      <c r="F236" s="1" t="s">
        <v>561</v>
      </c>
      <c r="G236" s="1" t="s">
        <v>562</v>
      </c>
      <c r="H236" t="s">
        <v>2270</v>
      </c>
      <c r="I236" s="1" t="s">
        <v>43</v>
      </c>
      <c r="J236" s="1" t="s">
        <v>25</v>
      </c>
      <c r="K236" s="1" t="s">
        <v>31</v>
      </c>
      <c r="L236" s="1" t="s">
        <v>20</v>
      </c>
      <c r="M236" s="1" t="s">
        <v>563</v>
      </c>
      <c r="N236" s="1" t="s">
        <v>22</v>
      </c>
      <c r="O236" s="1" t="s">
        <v>2276</v>
      </c>
    </row>
    <row r="237" spans="1:15" x14ac:dyDescent="0.25">
      <c r="A237">
        <v>1252</v>
      </c>
      <c r="B237" s="1" t="s">
        <v>354</v>
      </c>
      <c r="C237" s="1" t="str">
        <f t="shared" si="3"/>
        <v>Quebec</v>
      </c>
      <c r="D237" s="1" t="s">
        <v>73</v>
      </c>
      <c r="E237" s="5">
        <v>50</v>
      </c>
      <c r="F237" s="1" t="s">
        <v>564</v>
      </c>
      <c r="G237" s="1" t="s">
        <v>565</v>
      </c>
      <c r="H237" t="s">
        <v>2270</v>
      </c>
      <c r="I237" s="1" t="s">
        <v>43</v>
      </c>
      <c r="J237" s="1" t="s">
        <v>25</v>
      </c>
      <c r="K237" s="1" t="s">
        <v>31</v>
      </c>
      <c r="L237" s="1" t="s">
        <v>45</v>
      </c>
      <c r="M237" s="1" t="s">
        <v>566</v>
      </c>
      <c r="N237" s="1" t="s">
        <v>60</v>
      </c>
      <c r="O237" s="1" t="s">
        <v>2276</v>
      </c>
    </row>
    <row r="238" spans="1:15" x14ac:dyDescent="0.25">
      <c r="A238">
        <v>1253</v>
      </c>
      <c r="B238" s="1" t="s">
        <v>354</v>
      </c>
      <c r="C238" s="1" t="str">
        <f t="shared" si="3"/>
        <v>Quebec</v>
      </c>
      <c r="D238" s="1" t="s">
        <v>73</v>
      </c>
      <c r="E238" s="5">
        <v>56</v>
      </c>
      <c r="F238" s="1" t="s">
        <v>567</v>
      </c>
      <c r="G238" s="1" t="s">
        <v>568</v>
      </c>
      <c r="H238" t="s">
        <v>2270</v>
      </c>
      <c r="I238" s="1" t="s">
        <v>24</v>
      </c>
      <c r="J238" s="1" t="s">
        <v>25</v>
      </c>
      <c r="K238" s="1" t="s">
        <v>31</v>
      </c>
      <c r="L238" s="1" t="s">
        <v>45</v>
      </c>
      <c r="M238" s="1" t="s">
        <v>569</v>
      </c>
      <c r="N238" s="1" t="s">
        <v>22</v>
      </c>
      <c r="O238" s="1" t="s">
        <v>2276</v>
      </c>
    </row>
    <row r="239" spans="1:15" x14ac:dyDescent="0.25">
      <c r="A239">
        <v>1254</v>
      </c>
      <c r="B239" s="1" t="s">
        <v>354</v>
      </c>
      <c r="C239" s="1" t="str">
        <f t="shared" si="3"/>
        <v>Quebec</v>
      </c>
      <c r="D239" s="1" t="s">
        <v>73</v>
      </c>
      <c r="E239" s="5">
        <v>37</v>
      </c>
      <c r="F239" s="1" t="s">
        <v>570</v>
      </c>
      <c r="G239" s="1" t="s">
        <v>571</v>
      </c>
      <c r="H239" t="s">
        <v>2270</v>
      </c>
      <c r="I239" s="1" t="s">
        <v>17</v>
      </c>
      <c r="J239" s="1" t="s">
        <v>25</v>
      </c>
      <c r="K239" s="1" t="s">
        <v>32</v>
      </c>
      <c r="L239" s="1" t="s">
        <v>91</v>
      </c>
      <c r="M239" s="1" t="s">
        <v>572</v>
      </c>
      <c r="N239" s="1" t="s">
        <v>60</v>
      </c>
      <c r="O239" s="1" t="s">
        <v>2276</v>
      </c>
    </row>
    <row r="240" spans="1:15" x14ac:dyDescent="0.25">
      <c r="A240">
        <v>1256</v>
      </c>
      <c r="B240" s="1" t="s">
        <v>354</v>
      </c>
      <c r="C240" s="1" t="str">
        <f t="shared" si="3"/>
        <v>Quebec</v>
      </c>
      <c r="D240" s="1" t="s">
        <v>73</v>
      </c>
      <c r="E240" s="5">
        <v>52</v>
      </c>
      <c r="F240" s="1" t="s">
        <v>573</v>
      </c>
      <c r="G240" s="1" t="s">
        <v>574</v>
      </c>
      <c r="H240" t="s">
        <v>2270</v>
      </c>
      <c r="I240" s="1" t="s">
        <v>43</v>
      </c>
      <c r="J240" s="1" t="s">
        <v>44</v>
      </c>
      <c r="K240" s="1" t="s">
        <v>31</v>
      </c>
      <c r="L240" s="1" t="s">
        <v>45</v>
      </c>
      <c r="M240" s="1" t="s">
        <v>575</v>
      </c>
      <c r="N240" s="1" t="s">
        <v>22</v>
      </c>
      <c r="O240" s="1" t="s">
        <v>2276</v>
      </c>
    </row>
    <row r="241" spans="1:15" x14ac:dyDescent="0.25">
      <c r="A241">
        <v>1257</v>
      </c>
      <c r="B241" s="1" t="s">
        <v>354</v>
      </c>
      <c r="C241" s="1" t="str">
        <f t="shared" si="3"/>
        <v>Quebec</v>
      </c>
      <c r="D241" s="1" t="s">
        <v>14</v>
      </c>
      <c r="E241" s="5">
        <v>60</v>
      </c>
      <c r="F241" s="1" t="s">
        <v>576</v>
      </c>
      <c r="G241" s="1" t="s">
        <v>577</v>
      </c>
      <c r="H241" t="s">
        <v>2271</v>
      </c>
      <c r="I241" s="1" t="s">
        <v>40</v>
      </c>
      <c r="J241" s="1" t="s">
        <v>44</v>
      </c>
      <c r="K241" s="1" t="s">
        <v>31</v>
      </c>
      <c r="L241" s="1" t="s">
        <v>91</v>
      </c>
      <c r="M241" s="1" t="s">
        <v>578</v>
      </c>
      <c r="N241" s="1" t="s">
        <v>22</v>
      </c>
      <c r="O241" s="1" t="s">
        <v>2276</v>
      </c>
    </row>
    <row r="242" spans="1:15" x14ac:dyDescent="0.25">
      <c r="A242">
        <v>1258</v>
      </c>
      <c r="B242" s="1" t="s">
        <v>354</v>
      </c>
      <c r="C242" s="1" t="str">
        <f t="shared" si="3"/>
        <v>Quebec</v>
      </c>
      <c r="D242" s="1" t="s">
        <v>14</v>
      </c>
      <c r="E242" s="5">
        <v>35</v>
      </c>
      <c r="F242" s="1" t="s">
        <v>391</v>
      </c>
      <c r="G242" s="1" t="s">
        <v>579</v>
      </c>
      <c r="H242" t="s">
        <v>2271</v>
      </c>
      <c r="I242" s="1" t="s">
        <v>17</v>
      </c>
      <c r="J242" s="1" t="s">
        <v>44</v>
      </c>
      <c r="K242" s="1" t="s">
        <v>19</v>
      </c>
      <c r="L242" s="1" t="s">
        <v>32</v>
      </c>
      <c r="M242" s="1" t="s">
        <v>580</v>
      </c>
      <c r="N242" s="1" t="s">
        <v>60</v>
      </c>
      <c r="O242" s="1" t="s">
        <v>2276</v>
      </c>
    </row>
    <row r="243" spans="1:15" x14ac:dyDescent="0.25">
      <c r="A243">
        <v>1259</v>
      </c>
      <c r="B243" s="1" t="s">
        <v>354</v>
      </c>
      <c r="C243" s="1" t="str">
        <f t="shared" si="3"/>
        <v>Quebec</v>
      </c>
      <c r="D243" s="1" t="s">
        <v>14</v>
      </c>
      <c r="E243" s="5">
        <v>46</v>
      </c>
      <c r="F243" s="1" t="s">
        <v>581</v>
      </c>
      <c r="G243" s="1" t="s">
        <v>582</v>
      </c>
      <c r="H243" t="s">
        <v>2271</v>
      </c>
      <c r="I243" s="1" t="s">
        <v>24</v>
      </c>
      <c r="J243" s="1" t="s">
        <v>44</v>
      </c>
      <c r="K243" s="1" t="s">
        <v>31</v>
      </c>
      <c r="L243" s="1" t="s">
        <v>32</v>
      </c>
      <c r="M243" s="1" t="s">
        <v>583</v>
      </c>
      <c r="N243" s="1" t="s">
        <v>60</v>
      </c>
      <c r="O243" s="1" t="s">
        <v>2276</v>
      </c>
    </row>
    <row r="244" spans="1:15" x14ac:dyDescent="0.25">
      <c r="A244">
        <v>1262</v>
      </c>
      <c r="B244" s="1" t="s">
        <v>354</v>
      </c>
      <c r="C244" s="1" t="str">
        <f t="shared" si="3"/>
        <v>Quebec</v>
      </c>
      <c r="D244" s="1" t="s">
        <v>28</v>
      </c>
      <c r="E244" s="5">
        <v>54</v>
      </c>
      <c r="F244" s="1" t="s">
        <v>584</v>
      </c>
      <c r="G244" s="1" t="s">
        <v>585</v>
      </c>
      <c r="H244" t="s">
        <v>2270</v>
      </c>
      <c r="I244" s="1" t="s">
        <v>43</v>
      </c>
      <c r="J244" s="1" t="s">
        <v>25</v>
      </c>
      <c r="K244" s="1" t="s">
        <v>31</v>
      </c>
      <c r="L244" s="1" t="s">
        <v>45</v>
      </c>
      <c r="M244" s="1" t="s">
        <v>586</v>
      </c>
      <c r="N244" s="1" t="s">
        <v>22</v>
      </c>
      <c r="O244" s="1" t="s">
        <v>2276</v>
      </c>
    </row>
    <row r="245" spans="1:15" x14ac:dyDescent="0.25">
      <c r="A245">
        <v>1263</v>
      </c>
      <c r="B245" s="1" t="s">
        <v>354</v>
      </c>
      <c r="C245" s="1" t="str">
        <f t="shared" si="3"/>
        <v>Quebec</v>
      </c>
      <c r="D245" s="1" t="s">
        <v>28</v>
      </c>
      <c r="E245" s="5">
        <v>52</v>
      </c>
      <c r="F245" s="1" t="s">
        <v>587</v>
      </c>
      <c r="G245" s="1" t="s">
        <v>588</v>
      </c>
      <c r="H245" t="s">
        <v>2270</v>
      </c>
      <c r="I245" s="1" t="s">
        <v>43</v>
      </c>
      <c r="J245" s="1" t="s">
        <v>25</v>
      </c>
      <c r="K245" s="1" t="s">
        <v>31</v>
      </c>
      <c r="L245" s="1" t="s">
        <v>45</v>
      </c>
      <c r="M245" s="1" t="s">
        <v>589</v>
      </c>
      <c r="N245" s="1" t="s">
        <v>60</v>
      </c>
      <c r="O245" s="1" t="s">
        <v>2276</v>
      </c>
    </row>
    <row r="246" spans="1:15" x14ac:dyDescent="0.25">
      <c r="A246">
        <v>1264</v>
      </c>
      <c r="B246" s="1" t="s">
        <v>354</v>
      </c>
      <c r="C246" s="1" t="str">
        <f t="shared" si="3"/>
        <v>Quebec</v>
      </c>
      <c r="D246" s="1" t="s">
        <v>28</v>
      </c>
      <c r="E246" s="5">
        <v>48</v>
      </c>
      <c r="F246" s="1" t="s">
        <v>590</v>
      </c>
      <c r="G246" s="1" t="s">
        <v>591</v>
      </c>
      <c r="H246" t="s">
        <v>2270</v>
      </c>
      <c r="I246" s="1" t="s">
        <v>43</v>
      </c>
      <c r="J246" s="1" t="s">
        <v>25</v>
      </c>
      <c r="K246" s="1" t="s">
        <v>31</v>
      </c>
      <c r="L246" s="1" t="s">
        <v>32</v>
      </c>
      <c r="M246" s="1" t="s">
        <v>592</v>
      </c>
      <c r="N246" s="1" t="s">
        <v>60</v>
      </c>
      <c r="O246" s="1" t="s">
        <v>2276</v>
      </c>
    </row>
    <row r="247" spans="1:15" x14ac:dyDescent="0.25">
      <c r="A247">
        <v>1265</v>
      </c>
      <c r="B247" s="1" t="s">
        <v>354</v>
      </c>
      <c r="C247" s="1" t="str">
        <f t="shared" si="3"/>
        <v>Quebec</v>
      </c>
      <c r="D247" s="1" t="s">
        <v>28</v>
      </c>
      <c r="E247" s="5">
        <v>50</v>
      </c>
      <c r="F247" s="1" t="s">
        <v>593</v>
      </c>
      <c r="G247" s="1" t="s">
        <v>594</v>
      </c>
      <c r="H247" t="s">
        <v>2270</v>
      </c>
      <c r="I247" s="1" t="s">
        <v>43</v>
      </c>
      <c r="J247" s="1" t="s">
        <v>25</v>
      </c>
      <c r="K247" s="1" t="s">
        <v>31</v>
      </c>
      <c r="L247" s="1" t="s">
        <v>45</v>
      </c>
      <c r="M247" s="1" t="s">
        <v>595</v>
      </c>
      <c r="N247" s="1" t="s">
        <v>22</v>
      </c>
      <c r="O247" s="1" t="s">
        <v>2276</v>
      </c>
    </row>
    <row r="248" spans="1:15" x14ac:dyDescent="0.25">
      <c r="A248">
        <v>1266</v>
      </c>
      <c r="B248" s="1" t="s">
        <v>354</v>
      </c>
      <c r="C248" s="1" t="str">
        <f t="shared" si="3"/>
        <v>Quebec</v>
      </c>
      <c r="D248" s="1" t="s">
        <v>28</v>
      </c>
      <c r="E248" s="5">
        <v>48</v>
      </c>
      <c r="F248" s="1" t="s">
        <v>596</v>
      </c>
      <c r="G248" s="1" t="s">
        <v>591</v>
      </c>
      <c r="H248" t="s">
        <v>2270</v>
      </c>
      <c r="I248" s="1" t="s">
        <v>43</v>
      </c>
      <c r="J248" s="1" t="s">
        <v>25</v>
      </c>
      <c r="K248" s="1" t="s">
        <v>31</v>
      </c>
      <c r="L248" s="1" t="s">
        <v>32</v>
      </c>
      <c r="M248" s="1" t="s">
        <v>597</v>
      </c>
      <c r="N248" s="1" t="s">
        <v>60</v>
      </c>
      <c r="O248" s="1" t="s">
        <v>2276</v>
      </c>
    </row>
    <row r="249" spans="1:15" x14ac:dyDescent="0.25">
      <c r="A249">
        <v>1267</v>
      </c>
      <c r="B249" s="1" t="s">
        <v>354</v>
      </c>
      <c r="C249" s="1" t="str">
        <f t="shared" si="3"/>
        <v>Quebec</v>
      </c>
      <c r="D249" s="1" t="s">
        <v>28</v>
      </c>
      <c r="E249" s="5">
        <v>45</v>
      </c>
      <c r="F249" s="1" t="s">
        <v>598</v>
      </c>
      <c r="G249" s="1" t="s">
        <v>599</v>
      </c>
      <c r="H249" t="s">
        <v>2270</v>
      </c>
      <c r="I249" s="1" t="s">
        <v>43</v>
      </c>
      <c r="J249" s="1" t="s">
        <v>25</v>
      </c>
      <c r="K249" s="1" t="s">
        <v>31</v>
      </c>
      <c r="L249" s="1" t="s">
        <v>45</v>
      </c>
      <c r="M249" s="1" t="s">
        <v>600</v>
      </c>
      <c r="N249" s="1" t="s">
        <v>60</v>
      </c>
      <c r="O249" s="1" t="s">
        <v>2276</v>
      </c>
    </row>
    <row r="250" spans="1:15" x14ac:dyDescent="0.25">
      <c r="A250">
        <v>1268</v>
      </c>
      <c r="B250" s="1" t="s">
        <v>354</v>
      </c>
      <c r="C250" s="1" t="str">
        <f t="shared" si="3"/>
        <v>Quebec</v>
      </c>
      <c r="D250" s="1" t="s">
        <v>28</v>
      </c>
      <c r="E250" s="5">
        <v>45</v>
      </c>
      <c r="F250" s="1" t="s">
        <v>601</v>
      </c>
      <c r="G250" s="1" t="s">
        <v>602</v>
      </c>
      <c r="H250" t="s">
        <v>2270</v>
      </c>
      <c r="I250" s="1" t="s">
        <v>43</v>
      </c>
      <c r="J250" s="1" t="s">
        <v>25</v>
      </c>
      <c r="K250" s="1" t="s">
        <v>31</v>
      </c>
      <c r="L250" s="1" t="s">
        <v>45</v>
      </c>
      <c r="M250" s="1" t="s">
        <v>603</v>
      </c>
      <c r="N250" s="1" t="s">
        <v>60</v>
      </c>
      <c r="O250" s="1" t="s">
        <v>2276</v>
      </c>
    </row>
    <row r="251" spans="1:15" x14ac:dyDescent="0.25">
      <c r="A251">
        <v>1269</v>
      </c>
      <c r="B251" s="1" t="s">
        <v>354</v>
      </c>
      <c r="C251" s="1" t="str">
        <f t="shared" si="3"/>
        <v>Quebec</v>
      </c>
      <c r="D251" s="1" t="s">
        <v>28</v>
      </c>
      <c r="E251" s="5">
        <v>55</v>
      </c>
      <c r="F251" s="1" t="s">
        <v>604</v>
      </c>
      <c r="G251" s="1" t="s">
        <v>605</v>
      </c>
      <c r="H251" t="s">
        <v>2270</v>
      </c>
      <c r="I251" s="1" t="s">
        <v>43</v>
      </c>
      <c r="J251" s="1" t="s">
        <v>25</v>
      </c>
      <c r="K251" s="1" t="s">
        <v>31</v>
      </c>
      <c r="L251" s="1" t="s">
        <v>20</v>
      </c>
      <c r="M251" s="1" t="s">
        <v>606</v>
      </c>
      <c r="N251" s="1" t="s">
        <v>22</v>
      </c>
      <c r="O251" s="1" t="s">
        <v>2276</v>
      </c>
    </row>
    <row r="252" spans="1:15" x14ac:dyDescent="0.25">
      <c r="A252">
        <v>1270</v>
      </c>
      <c r="B252" s="1" t="s">
        <v>354</v>
      </c>
      <c r="C252" s="1" t="str">
        <f t="shared" si="3"/>
        <v>Quebec</v>
      </c>
      <c r="D252" s="1" t="s">
        <v>28</v>
      </c>
      <c r="E252" s="5">
        <v>46</v>
      </c>
      <c r="F252" s="1" t="s">
        <v>607</v>
      </c>
      <c r="G252" s="1" t="s">
        <v>608</v>
      </c>
      <c r="H252" t="s">
        <v>2270</v>
      </c>
      <c r="I252" s="1" t="s">
        <v>24</v>
      </c>
      <c r="J252" s="1" t="s">
        <v>25</v>
      </c>
      <c r="K252" s="1" t="s">
        <v>31</v>
      </c>
      <c r="L252" s="1" t="s">
        <v>32</v>
      </c>
      <c r="M252" s="1" t="s">
        <v>609</v>
      </c>
      <c r="N252" s="1" t="s">
        <v>22</v>
      </c>
      <c r="O252" s="1" t="s">
        <v>2276</v>
      </c>
    </row>
    <row r="253" spans="1:15" x14ac:dyDescent="0.25">
      <c r="A253">
        <v>1271</v>
      </c>
      <c r="B253" s="1" t="s">
        <v>354</v>
      </c>
      <c r="C253" s="1" t="str">
        <f t="shared" si="3"/>
        <v>Quebec</v>
      </c>
      <c r="D253" s="1" t="s">
        <v>28</v>
      </c>
      <c r="E253" s="5">
        <v>48</v>
      </c>
      <c r="F253" s="1" t="s">
        <v>610</v>
      </c>
      <c r="G253" s="1" t="s">
        <v>611</v>
      </c>
      <c r="H253" t="s">
        <v>2270</v>
      </c>
      <c r="I253" s="1" t="s">
        <v>17</v>
      </c>
      <c r="J253" s="1" t="s">
        <v>25</v>
      </c>
      <c r="K253" s="1" t="s">
        <v>31</v>
      </c>
      <c r="L253" s="1" t="s">
        <v>20</v>
      </c>
      <c r="M253" s="1" t="s">
        <v>612</v>
      </c>
      <c r="N253" s="1" t="s">
        <v>22</v>
      </c>
      <c r="O253" s="1" t="s">
        <v>2276</v>
      </c>
    </row>
    <row r="254" spans="1:15" x14ac:dyDescent="0.25">
      <c r="A254">
        <v>1272</v>
      </c>
      <c r="B254" s="1" t="s">
        <v>354</v>
      </c>
      <c r="C254" s="1" t="str">
        <f t="shared" si="3"/>
        <v>Quebec</v>
      </c>
      <c r="D254" s="1" t="s">
        <v>28</v>
      </c>
      <c r="E254" s="5">
        <v>40</v>
      </c>
      <c r="F254" s="1" t="s">
        <v>613</v>
      </c>
      <c r="G254" s="1" t="s">
        <v>614</v>
      </c>
      <c r="H254" t="s">
        <v>2270</v>
      </c>
      <c r="I254" s="1" t="s">
        <v>17</v>
      </c>
      <c r="J254" s="1" t="s">
        <v>25</v>
      </c>
      <c r="K254" s="1" t="s">
        <v>31</v>
      </c>
      <c r="L254" s="1" t="s">
        <v>32</v>
      </c>
      <c r="M254" s="1" t="s">
        <v>615</v>
      </c>
      <c r="N254" s="1" t="s">
        <v>22</v>
      </c>
      <c r="O254" s="1" t="s">
        <v>2276</v>
      </c>
    </row>
    <row r="255" spans="1:15" x14ac:dyDescent="0.25">
      <c r="A255">
        <v>1273</v>
      </c>
      <c r="B255" s="1" t="s">
        <v>354</v>
      </c>
      <c r="C255" s="1" t="str">
        <f t="shared" si="3"/>
        <v>Quebec</v>
      </c>
      <c r="D255" s="1" t="s">
        <v>28</v>
      </c>
      <c r="E255" s="5">
        <v>46</v>
      </c>
      <c r="F255" s="1" t="s">
        <v>616</v>
      </c>
      <c r="G255" s="1" t="s">
        <v>617</v>
      </c>
      <c r="H255" t="s">
        <v>2270</v>
      </c>
      <c r="I255" s="1" t="s">
        <v>24</v>
      </c>
      <c r="J255" s="1" t="s">
        <v>25</v>
      </c>
      <c r="K255" s="1" t="s">
        <v>31</v>
      </c>
      <c r="L255" s="1" t="s">
        <v>20</v>
      </c>
      <c r="M255" s="1" t="s">
        <v>618</v>
      </c>
      <c r="N255" s="1" t="s">
        <v>22</v>
      </c>
      <c r="O255" s="1" t="s">
        <v>2276</v>
      </c>
    </row>
    <row r="256" spans="1:15" x14ac:dyDescent="0.25">
      <c r="A256">
        <v>1274</v>
      </c>
      <c r="B256" s="1" t="s">
        <v>354</v>
      </c>
      <c r="C256" s="1" t="str">
        <f t="shared" si="3"/>
        <v>Quebec</v>
      </c>
      <c r="D256" s="1" t="s">
        <v>28</v>
      </c>
      <c r="E256" s="5">
        <v>45</v>
      </c>
      <c r="F256" s="1" t="s">
        <v>619</v>
      </c>
      <c r="G256" s="1" t="s">
        <v>620</v>
      </c>
      <c r="H256" t="s">
        <v>2270</v>
      </c>
      <c r="I256" s="1" t="s">
        <v>24</v>
      </c>
      <c r="J256" s="1" t="s">
        <v>25</v>
      </c>
      <c r="K256" s="1" t="s">
        <v>31</v>
      </c>
      <c r="L256" s="1" t="s">
        <v>20</v>
      </c>
      <c r="M256" s="1" t="s">
        <v>621</v>
      </c>
      <c r="N256" s="1" t="s">
        <v>60</v>
      </c>
      <c r="O256" s="1" t="s">
        <v>2276</v>
      </c>
    </row>
    <row r="257" spans="1:15" x14ac:dyDescent="0.25">
      <c r="A257">
        <v>1275</v>
      </c>
      <c r="B257" s="1" t="s">
        <v>354</v>
      </c>
      <c r="C257" s="1" t="str">
        <f t="shared" si="3"/>
        <v>Quebec</v>
      </c>
      <c r="D257" s="1" t="s">
        <v>28</v>
      </c>
      <c r="E257" s="5">
        <v>46</v>
      </c>
      <c r="F257" s="1" t="s">
        <v>622</v>
      </c>
      <c r="G257" s="1" t="s">
        <v>623</v>
      </c>
      <c r="H257" t="s">
        <v>2270</v>
      </c>
      <c r="I257" s="1" t="s">
        <v>24</v>
      </c>
      <c r="J257" s="1" t="s">
        <v>25</v>
      </c>
      <c r="K257" s="1" t="s">
        <v>19</v>
      </c>
      <c r="L257" s="1" t="s">
        <v>20</v>
      </c>
      <c r="M257" s="1" t="s">
        <v>624</v>
      </c>
      <c r="N257" s="1" t="s">
        <v>22</v>
      </c>
      <c r="O257" s="1" t="s">
        <v>2276</v>
      </c>
    </row>
    <row r="258" spans="1:15" x14ac:dyDescent="0.25">
      <c r="A258">
        <v>1276</v>
      </c>
      <c r="B258" s="1" t="s">
        <v>354</v>
      </c>
      <c r="C258" s="1" t="str">
        <f t="shared" ref="C258:C321" si="4">IF(B258="NB","New Brunswick",IF(B258="AB","Alberta",IF(B258="BC","British Columbia",IF(B258="MB","Manitoba",IF(B258="NL","Newfoundland and Labrador",IF(B258="NS","Nova Scotia",IF(B258="ON","Ontario",IF(B258="PE","Prince Edward Island",IF(B258="QC","Quebec",IF(B258="SK","Saskatchewan",""))))))))))</f>
        <v>Quebec</v>
      </c>
      <c r="D258" s="1" t="s">
        <v>28</v>
      </c>
      <c r="E258" s="5">
        <v>46</v>
      </c>
      <c r="F258" s="1" t="s">
        <v>625</v>
      </c>
      <c r="G258" s="1" t="s">
        <v>626</v>
      </c>
      <c r="H258" t="s">
        <v>2270</v>
      </c>
      <c r="I258" s="1" t="s">
        <v>24</v>
      </c>
      <c r="J258" s="1" t="s">
        <v>25</v>
      </c>
      <c r="K258" s="1" t="s">
        <v>31</v>
      </c>
      <c r="L258" s="1" t="s">
        <v>20</v>
      </c>
      <c r="M258" s="1" t="s">
        <v>627</v>
      </c>
      <c r="N258" s="1" t="s">
        <v>22</v>
      </c>
      <c r="O258" s="1" t="s">
        <v>2276</v>
      </c>
    </row>
    <row r="259" spans="1:15" x14ac:dyDescent="0.25">
      <c r="A259">
        <v>1277</v>
      </c>
      <c r="B259" s="1" t="s">
        <v>354</v>
      </c>
      <c r="C259" s="1" t="str">
        <f t="shared" si="4"/>
        <v>Quebec</v>
      </c>
      <c r="D259" s="1" t="s">
        <v>28</v>
      </c>
      <c r="E259" s="5">
        <v>40</v>
      </c>
      <c r="F259" s="1" t="s">
        <v>47</v>
      </c>
      <c r="G259" s="1" t="s">
        <v>628</v>
      </c>
      <c r="H259" t="s">
        <v>2270</v>
      </c>
      <c r="I259" s="1" t="s">
        <v>17</v>
      </c>
      <c r="J259" s="1" t="s">
        <v>25</v>
      </c>
      <c r="K259" s="1" t="s">
        <v>31</v>
      </c>
      <c r="L259" s="1" t="s">
        <v>32</v>
      </c>
      <c r="M259" s="1" t="s">
        <v>629</v>
      </c>
      <c r="N259" s="1" t="s">
        <v>22</v>
      </c>
      <c r="O259" s="1" t="s">
        <v>2276</v>
      </c>
    </row>
    <row r="260" spans="1:15" x14ac:dyDescent="0.25">
      <c r="A260">
        <v>1278</v>
      </c>
      <c r="B260" s="1" t="s">
        <v>354</v>
      </c>
      <c r="C260" s="1" t="str">
        <f t="shared" si="4"/>
        <v>Quebec</v>
      </c>
      <c r="D260" s="1" t="s">
        <v>28</v>
      </c>
      <c r="E260" s="5">
        <v>55</v>
      </c>
      <c r="F260" s="1" t="s">
        <v>630</v>
      </c>
      <c r="G260" s="1" t="s">
        <v>631</v>
      </c>
      <c r="H260" t="s">
        <v>2270</v>
      </c>
      <c r="I260" s="1" t="s">
        <v>43</v>
      </c>
      <c r="J260" s="1" t="s">
        <v>25</v>
      </c>
      <c r="K260" s="1" t="s">
        <v>31</v>
      </c>
      <c r="L260" s="1" t="s">
        <v>20</v>
      </c>
      <c r="M260" s="1" t="s">
        <v>632</v>
      </c>
      <c r="N260" s="1" t="s">
        <v>22</v>
      </c>
      <c r="O260" s="1" t="s">
        <v>2276</v>
      </c>
    </row>
    <row r="261" spans="1:15" x14ac:dyDescent="0.25">
      <c r="A261">
        <v>1279</v>
      </c>
      <c r="B261" s="1" t="s">
        <v>354</v>
      </c>
      <c r="C261" s="1" t="str">
        <f t="shared" si="4"/>
        <v>Quebec</v>
      </c>
      <c r="D261" s="1" t="s">
        <v>28</v>
      </c>
      <c r="E261" s="5">
        <v>48</v>
      </c>
      <c r="F261" s="1" t="s">
        <v>633</v>
      </c>
      <c r="G261" s="1" t="s">
        <v>634</v>
      </c>
      <c r="H261" t="s">
        <v>2270</v>
      </c>
      <c r="I261" s="1" t="s">
        <v>43</v>
      </c>
      <c r="J261" s="1" t="s">
        <v>25</v>
      </c>
      <c r="K261" s="1" t="s">
        <v>31</v>
      </c>
      <c r="L261" s="1" t="s">
        <v>45</v>
      </c>
      <c r="M261" s="1" t="s">
        <v>635</v>
      </c>
      <c r="N261" s="1" t="s">
        <v>60</v>
      </c>
      <c r="O261" s="1" t="s">
        <v>2276</v>
      </c>
    </row>
    <row r="262" spans="1:15" x14ac:dyDescent="0.25">
      <c r="A262">
        <v>1280</v>
      </c>
      <c r="B262" s="1" t="s">
        <v>354</v>
      </c>
      <c r="C262" s="1" t="str">
        <f t="shared" si="4"/>
        <v>Quebec</v>
      </c>
      <c r="D262" s="1" t="s">
        <v>28</v>
      </c>
      <c r="E262" s="5">
        <v>55</v>
      </c>
      <c r="F262" s="1" t="s">
        <v>636</v>
      </c>
      <c r="G262" s="1" t="s">
        <v>637</v>
      </c>
      <c r="H262" t="s">
        <v>2270</v>
      </c>
      <c r="I262" s="1" t="s">
        <v>43</v>
      </c>
      <c r="J262" s="1" t="s">
        <v>25</v>
      </c>
      <c r="K262" s="1" t="s">
        <v>19</v>
      </c>
      <c r="L262" s="1" t="s">
        <v>20</v>
      </c>
      <c r="M262" s="1" t="s">
        <v>638</v>
      </c>
      <c r="N262" s="1" t="s">
        <v>22</v>
      </c>
      <c r="O262" s="1" t="s">
        <v>2276</v>
      </c>
    </row>
    <row r="263" spans="1:15" x14ac:dyDescent="0.25">
      <c r="A263">
        <v>1281</v>
      </c>
      <c r="B263" s="1" t="s">
        <v>354</v>
      </c>
      <c r="C263" s="1" t="str">
        <f t="shared" si="4"/>
        <v>Quebec</v>
      </c>
      <c r="D263" s="1" t="s">
        <v>28</v>
      </c>
      <c r="E263" s="5">
        <v>52</v>
      </c>
      <c r="F263" s="1" t="s">
        <v>639</v>
      </c>
      <c r="G263" s="1" t="s">
        <v>640</v>
      </c>
      <c r="H263" t="s">
        <v>2270</v>
      </c>
      <c r="I263" s="1" t="s">
        <v>43</v>
      </c>
      <c r="J263" s="1" t="s">
        <v>44</v>
      </c>
      <c r="K263" s="1" t="s">
        <v>31</v>
      </c>
      <c r="L263" s="1" t="s">
        <v>45</v>
      </c>
      <c r="M263" s="1" t="s">
        <v>641</v>
      </c>
      <c r="N263" s="1" t="s">
        <v>22</v>
      </c>
      <c r="O263" s="1" t="s">
        <v>2276</v>
      </c>
    </row>
    <row r="264" spans="1:15" x14ac:dyDescent="0.25">
      <c r="A264">
        <v>1282</v>
      </c>
      <c r="B264" s="1" t="s">
        <v>354</v>
      </c>
      <c r="C264" s="1" t="str">
        <f t="shared" si="4"/>
        <v>Quebec</v>
      </c>
      <c r="D264" s="1" t="s">
        <v>28</v>
      </c>
      <c r="E264" s="5">
        <v>52</v>
      </c>
      <c r="F264" s="1" t="s">
        <v>642</v>
      </c>
      <c r="G264" s="1" t="s">
        <v>643</v>
      </c>
      <c r="H264" t="s">
        <v>2270</v>
      </c>
      <c r="I264" s="1" t="s">
        <v>43</v>
      </c>
      <c r="J264" s="1" t="s">
        <v>44</v>
      </c>
      <c r="K264" s="1" t="s">
        <v>31</v>
      </c>
      <c r="L264" s="1" t="s">
        <v>45</v>
      </c>
      <c r="M264" s="1" t="s">
        <v>644</v>
      </c>
      <c r="N264" s="1" t="s">
        <v>22</v>
      </c>
      <c r="O264" s="1" t="s">
        <v>2276</v>
      </c>
    </row>
    <row r="265" spans="1:15" x14ac:dyDescent="0.25">
      <c r="A265">
        <v>1283</v>
      </c>
      <c r="B265" s="1" t="s">
        <v>354</v>
      </c>
      <c r="C265" s="1" t="str">
        <f t="shared" si="4"/>
        <v>Quebec</v>
      </c>
      <c r="D265" s="1" t="s">
        <v>28</v>
      </c>
      <c r="E265" s="5">
        <v>54</v>
      </c>
      <c r="F265" s="1" t="s">
        <v>642</v>
      </c>
      <c r="G265" s="1" t="s">
        <v>645</v>
      </c>
      <c r="H265" t="s">
        <v>2270</v>
      </c>
      <c r="I265" s="1" t="s">
        <v>43</v>
      </c>
      <c r="J265" s="1" t="s">
        <v>44</v>
      </c>
      <c r="K265" s="1" t="s">
        <v>31</v>
      </c>
      <c r="L265" s="1" t="s">
        <v>32</v>
      </c>
      <c r="M265" s="1" t="s">
        <v>646</v>
      </c>
      <c r="N265" s="1" t="s">
        <v>22</v>
      </c>
      <c r="O265" s="1" t="s">
        <v>2276</v>
      </c>
    </row>
    <row r="266" spans="1:15" x14ac:dyDescent="0.25">
      <c r="A266">
        <v>1284</v>
      </c>
      <c r="B266" s="1" t="s">
        <v>354</v>
      </c>
      <c r="C266" s="1" t="str">
        <f t="shared" si="4"/>
        <v>Quebec</v>
      </c>
      <c r="D266" s="1" t="s">
        <v>28</v>
      </c>
      <c r="E266" s="5">
        <v>54</v>
      </c>
      <c r="F266" s="1" t="s">
        <v>642</v>
      </c>
      <c r="G266" s="1" t="s">
        <v>647</v>
      </c>
      <c r="H266" t="s">
        <v>2270</v>
      </c>
      <c r="I266" s="1" t="s">
        <v>43</v>
      </c>
      <c r="J266" s="1" t="s">
        <v>44</v>
      </c>
      <c r="K266" s="1" t="s">
        <v>31</v>
      </c>
      <c r="L266" s="1" t="s">
        <v>32</v>
      </c>
      <c r="M266" s="1" t="s">
        <v>648</v>
      </c>
      <c r="N266" s="1" t="s">
        <v>22</v>
      </c>
      <c r="O266" s="1" t="s">
        <v>2276</v>
      </c>
    </row>
    <row r="267" spans="1:15" x14ac:dyDescent="0.25">
      <c r="A267">
        <v>1285</v>
      </c>
      <c r="B267" s="1" t="s">
        <v>354</v>
      </c>
      <c r="C267" s="1" t="str">
        <f t="shared" si="4"/>
        <v>Quebec</v>
      </c>
      <c r="D267" s="1" t="s">
        <v>28</v>
      </c>
      <c r="E267" s="5">
        <v>54</v>
      </c>
      <c r="F267" s="1" t="s">
        <v>642</v>
      </c>
      <c r="G267" s="1" t="s">
        <v>649</v>
      </c>
      <c r="H267" t="s">
        <v>2270</v>
      </c>
      <c r="I267" s="1" t="s">
        <v>43</v>
      </c>
      <c r="J267" s="1" t="s">
        <v>44</v>
      </c>
      <c r="K267" s="1" t="s">
        <v>31</v>
      </c>
      <c r="L267" s="1" t="s">
        <v>32</v>
      </c>
      <c r="M267" s="1" t="s">
        <v>650</v>
      </c>
      <c r="N267" s="1" t="s">
        <v>22</v>
      </c>
      <c r="O267" s="1" t="s">
        <v>2276</v>
      </c>
    </row>
    <row r="268" spans="1:15" x14ac:dyDescent="0.25">
      <c r="A268">
        <v>1286</v>
      </c>
      <c r="B268" s="1" t="s">
        <v>354</v>
      </c>
      <c r="C268" s="1" t="str">
        <f t="shared" si="4"/>
        <v>Quebec</v>
      </c>
      <c r="D268" s="1" t="s">
        <v>73</v>
      </c>
      <c r="E268" s="5">
        <v>42</v>
      </c>
      <c r="F268" s="1" t="s">
        <v>651</v>
      </c>
      <c r="G268" s="1" t="s">
        <v>652</v>
      </c>
      <c r="H268" t="s">
        <v>2271</v>
      </c>
      <c r="I268" s="1" t="s">
        <v>43</v>
      </c>
      <c r="J268" s="1" t="s">
        <v>232</v>
      </c>
      <c r="K268" s="1" t="s">
        <v>31</v>
      </c>
      <c r="L268" s="1" t="s">
        <v>45</v>
      </c>
      <c r="M268" s="1" t="s">
        <v>653</v>
      </c>
      <c r="N268" s="1" t="s">
        <v>60</v>
      </c>
      <c r="O268" s="1" t="s">
        <v>2276</v>
      </c>
    </row>
    <row r="269" spans="1:15" x14ac:dyDescent="0.25">
      <c r="A269">
        <v>1288</v>
      </c>
      <c r="B269" s="1" t="s">
        <v>354</v>
      </c>
      <c r="C269" s="1" t="str">
        <f t="shared" si="4"/>
        <v>Quebec</v>
      </c>
      <c r="D269" s="1" t="s">
        <v>14</v>
      </c>
      <c r="E269" s="5">
        <v>80</v>
      </c>
      <c r="F269" s="1" t="s">
        <v>639</v>
      </c>
      <c r="G269" s="1" t="s">
        <v>654</v>
      </c>
      <c r="H269" t="s">
        <v>2271</v>
      </c>
      <c r="I269" s="1" t="s">
        <v>40</v>
      </c>
      <c r="J269" s="1" t="s">
        <v>25</v>
      </c>
      <c r="K269" s="1" t="s">
        <v>31</v>
      </c>
      <c r="L269" s="1" t="s">
        <v>91</v>
      </c>
      <c r="M269" s="1" t="s">
        <v>655</v>
      </c>
      <c r="N269" s="1" t="s">
        <v>22</v>
      </c>
      <c r="O269" s="1" t="s">
        <v>2276</v>
      </c>
    </row>
    <row r="270" spans="1:15" x14ac:dyDescent="0.25">
      <c r="A270">
        <v>1289</v>
      </c>
      <c r="B270" s="1" t="s">
        <v>354</v>
      </c>
      <c r="C270" s="1" t="str">
        <f t="shared" si="4"/>
        <v>Quebec</v>
      </c>
      <c r="D270" s="1" t="s">
        <v>14</v>
      </c>
      <c r="E270" s="5">
        <v>80</v>
      </c>
      <c r="F270" s="1" t="s">
        <v>656</v>
      </c>
      <c r="G270" s="1" t="s">
        <v>32</v>
      </c>
      <c r="H270" t="s">
        <v>2271</v>
      </c>
      <c r="I270" s="1" t="s">
        <v>40</v>
      </c>
      <c r="J270" s="1" t="s">
        <v>25</v>
      </c>
      <c r="K270" s="1" t="s">
        <v>31</v>
      </c>
      <c r="L270" s="1" t="s">
        <v>91</v>
      </c>
      <c r="M270" s="1" t="s">
        <v>657</v>
      </c>
      <c r="N270" s="1" t="s">
        <v>22</v>
      </c>
      <c r="O270" s="1" t="s">
        <v>2276</v>
      </c>
    </row>
    <row r="271" spans="1:15" x14ac:dyDescent="0.25">
      <c r="A271">
        <v>1290</v>
      </c>
      <c r="B271" s="1" t="s">
        <v>354</v>
      </c>
      <c r="C271" s="1" t="str">
        <f t="shared" si="4"/>
        <v>Quebec</v>
      </c>
      <c r="D271" s="1" t="s">
        <v>14</v>
      </c>
      <c r="E271" s="5">
        <v>45</v>
      </c>
      <c r="F271" s="1" t="s">
        <v>658</v>
      </c>
      <c r="G271" s="1" t="s">
        <v>659</v>
      </c>
      <c r="H271" t="s">
        <v>2271</v>
      </c>
      <c r="I271" s="1" t="s">
        <v>24</v>
      </c>
      <c r="J271" s="1" t="s">
        <v>232</v>
      </c>
      <c r="K271" s="1" t="s">
        <v>107</v>
      </c>
      <c r="L271" s="1" t="s">
        <v>20</v>
      </c>
      <c r="M271" s="1" t="s">
        <v>660</v>
      </c>
      <c r="N271" s="1" t="s">
        <v>22</v>
      </c>
      <c r="O271" s="1" t="s">
        <v>2276</v>
      </c>
    </row>
    <row r="272" spans="1:15" x14ac:dyDescent="0.25">
      <c r="A272">
        <v>1291</v>
      </c>
      <c r="B272" s="1" t="s">
        <v>354</v>
      </c>
      <c r="C272" s="1" t="str">
        <f t="shared" si="4"/>
        <v>Quebec</v>
      </c>
      <c r="D272" s="1" t="s">
        <v>14</v>
      </c>
      <c r="E272" s="5">
        <v>45</v>
      </c>
      <c r="F272" s="1" t="s">
        <v>388</v>
      </c>
      <c r="G272" s="1" t="s">
        <v>661</v>
      </c>
      <c r="H272" t="s">
        <v>2271</v>
      </c>
      <c r="I272" s="1" t="s">
        <v>24</v>
      </c>
      <c r="J272" s="1" t="s">
        <v>25</v>
      </c>
      <c r="K272" s="1" t="s">
        <v>107</v>
      </c>
      <c r="L272" s="1" t="s">
        <v>20</v>
      </c>
      <c r="M272" s="1" t="s">
        <v>662</v>
      </c>
      <c r="N272" s="1" t="s">
        <v>22</v>
      </c>
      <c r="O272" s="1" t="s">
        <v>2276</v>
      </c>
    </row>
    <row r="273" spans="1:15" x14ac:dyDescent="0.25">
      <c r="A273">
        <v>1292</v>
      </c>
      <c r="B273" s="1" t="s">
        <v>354</v>
      </c>
      <c r="C273" s="1" t="str">
        <f t="shared" si="4"/>
        <v>Quebec</v>
      </c>
      <c r="D273" s="1" t="s">
        <v>28</v>
      </c>
      <c r="E273" s="5">
        <v>39</v>
      </c>
      <c r="F273" s="1" t="s">
        <v>663</v>
      </c>
      <c r="G273" s="1" t="s">
        <v>664</v>
      </c>
      <c r="H273" t="s">
        <v>2270</v>
      </c>
      <c r="I273" s="1" t="s">
        <v>17</v>
      </c>
      <c r="J273" s="1" t="s">
        <v>25</v>
      </c>
      <c r="K273" s="1" t="s">
        <v>31</v>
      </c>
      <c r="L273" s="1" t="s">
        <v>91</v>
      </c>
      <c r="M273" s="1" t="s">
        <v>665</v>
      </c>
      <c r="N273" s="1" t="s">
        <v>60</v>
      </c>
      <c r="O273" s="1" t="s">
        <v>2276</v>
      </c>
    </row>
    <row r="274" spans="1:15" x14ac:dyDescent="0.25">
      <c r="A274">
        <v>1293</v>
      </c>
      <c r="B274" s="1" t="s">
        <v>354</v>
      </c>
      <c r="C274" s="1" t="str">
        <f t="shared" si="4"/>
        <v>Quebec</v>
      </c>
      <c r="D274" s="1" t="s">
        <v>28</v>
      </c>
      <c r="E274" s="5">
        <v>45</v>
      </c>
      <c r="F274" s="1" t="s">
        <v>666</v>
      </c>
      <c r="G274" s="1" t="s">
        <v>32</v>
      </c>
      <c r="H274" t="s">
        <v>2270</v>
      </c>
      <c r="I274" s="1" t="s">
        <v>17</v>
      </c>
      <c r="J274" s="1" t="s">
        <v>44</v>
      </c>
      <c r="K274" s="1" t="s">
        <v>31</v>
      </c>
      <c r="L274" s="1" t="s">
        <v>91</v>
      </c>
      <c r="M274" s="1" t="s">
        <v>667</v>
      </c>
      <c r="N274" s="1" t="s">
        <v>22</v>
      </c>
      <c r="O274" s="1" t="s">
        <v>2276</v>
      </c>
    </row>
    <row r="275" spans="1:15" x14ac:dyDescent="0.25">
      <c r="A275">
        <v>1294</v>
      </c>
      <c r="B275" s="1" t="s">
        <v>354</v>
      </c>
      <c r="C275" s="1" t="str">
        <f t="shared" si="4"/>
        <v>Quebec</v>
      </c>
      <c r="D275" s="1" t="s">
        <v>28</v>
      </c>
      <c r="E275" s="5">
        <v>50</v>
      </c>
      <c r="F275" s="1" t="s">
        <v>668</v>
      </c>
      <c r="G275" s="1" t="s">
        <v>669</v>
      </c>
      <c r="H275" t="s">
        <v>2270</v>
      </c>
      <c r="I275" s="1" t="s">
        <v>43</v>
      </c>
      <c r="J275" s="1" t="s">
        <v>44</v>
      </c>
      <c r="K275" s="1" t="s">
        <v>31</v>
      </c>
      <c r="L275" s="1" t="s">
        <v>32</v>
      </c>
      <c r="M275" s="1" t="s">
        <v>670</v>
      </c>
      <c r="N275" s="1" t="s">
        <v>22</v>
      </c>
      <c r="O275" s="1" t="s">
        <v>2276</v>
      </c>
    </row>
    <row r="276" spans="1:15" x14ac:dyDescent="0.25">
      <c r="A276">
        <v>1295</v>
      </c>
      <c r="B276" s="1" t="s">
        <v>354</v>
      </c>
      <c r="C276" s="1" t="str">
        <f t="shared" si="4"/>
        <v>Quebec</v>
      </c>
      <c r="D276" s="1" t="s">
        <v>28</v>
      </c>
      <c r="E276" s="5">
        <v>50</v>
      </c>
      <c r="F276" s="1" t="s">
        <v>32</v>
      </c>
      <c r="G276" s="1" t="s">
        <v>671</v>
      </c>
      <c r="H276" t="s">
        <v>2270</v>
      </c>
      <c r="I276" s="1" t="s">
        <v>43</v>
      </c>
      <c r="J276" s="1" t="s">
        <v>25</v>
      </c>
      <c r="K276" s="1" t="s">
        <v>31</v>
      </c>
      <c r="L276" s="1" t="s">
        <v>45</v>
      </c>
      <c r="M276" s="1" t="s">
        <v>672</v>
      </c>
      <c r="N276" s="1" t="s">
        <v>60</v>
      </c>
      <c r="O276" s="1" t="s">
        <v>2276</v>
      </c>
    </row>
    <row r="277" spans="1:15" x14ac:dyDescent="0.25">
      <c r="A277">
        <v>1296</v>
      </c>
      <c r="B277" s="1" t="s">
        <v>354</v>
      </c>
      <c r="C277" s="1" t="str">
        <f t="shared" si="4"/>
        <v>Quebec</v>
      </c>
      <c r="D277" s="1" t="s">
        <v>28</v>
      </c>
      <c r="E277" s="5">
        <v>50</v>
      </c>
      <c r="F277" s="1" t="s">
        <v>673</v>
      </c>
      <c r="G277" s="1" t="s">
        <v>674</v>
      </c>
      <c r="H277" t="s">
        <v>2270</v>
      </c>
      <c r="I277" s="1" t="s">
        <v>43</v>
      </c>
      <c r="J277" s="1" t="s">
        <v>25</v>
      </c>
      <c r="K277" s="1" t="s">
        <v>31</v>
      </c>
      <c r="L277" s="1" t="s">
        <v>45</v>
      </c>
      <c r="M277" s="1" t="s">
        <v>675</v>
      </c>
      <c r="N277" s="1" t="s">
        <v>60</v>
      </c>
      <c r="O277" s="1" t="s">
        <v>2276</v>
      </c>
    </row>
    <row r="278" spans="1:15" x14ac:dyDescent="0.25">
      <c r="A278">
        <v>1297</v>
      </c>
      <c r="B278" s="1" t="s">
        <v>354</v>
      </c>
      <c r="C278" s="1" t="str">
        <f t="shared" si="4"/>
        <v>Quebec</v>
      </c>
      <c r="D278" s="1" t="s">
        <v>28</v>
      </c>
      <c r="E278" s="5">
        <v>50</v>
      </c>
      <c r="F278" s="1" t="s">
        <v>676</v>
      </c>
      <c r="G278" s="1" t="s">
        <v>677</v>
      </c>
      <c r="H278" t="s">
        <v>2270</v>
      </c>
      <c r="I278" s="1" t="s">
        <v>43</v>
      </c>
      <c r="J278" s="1" t="s">
        <v>25</v>
      </c>
      <c r="K278" s="1" t="s">
        <v>31</v>
      </c>
      <c r="L278" s="1" t="s">
        <v>45</v>
      </c>
      <c r="M278" s="1" t="s">
        <v>678</v>
      </c>
      <c r="N278" s="1" t="s">
        <v>60</v>
      </c>
      <c r="O278" s="1" t="s">
        <v>2276</v>
      </c>
    </row>
    <row r="279" spans="1:15" x14ac:dyDescent="0.25">
      <c r="A279">
        <v>1298</v>
      </c>
      <c r="B279" s="1" t="s">
        <v>354</v>
      </c>
      <c r="C279" s="1" t="str">
        <f t="shared" si="4"/>
        <v>Quebec</v>
      </c>
      <c r="D279" s="1" t="s">
        <v>28</v>
      </c>
      <c r="E279" s="5">
        <v>50</v>
      </c>
      <c r="F279" s="1" t="s">
        <v>679</v>
      </c>
      <c r="G279" s="1" t="s">
        <v>680</v>
      </c>
      <c r="H279" t="s">
        <v>2270</v>
      </c>
      <c r="I279" s="1" t="s">
        <v>43</v>
      </c>
      <c r="J279" s="1" t="s">
        <v>25</v>
      </c>
      <c r="K279" s="1" t="s">
        <v>31</v>
      </c>
      <c r="L279" s="1" t="s">
        <v>45</v>
      </c>
      <c r="M279" s="1" t="s">
        <v>681</v>
      </c>
      <c r="N279" s="1" t="s">
        <v>60</v>
      </c>
      <c r="O279" s="1" t="s">
        <v>2276</v>
      </c>
    </row>
    <row r="280" spans="1:15" x14ac:dyDescent="0.25">
      <c r="A280">
        <v>1299</v>
      </c>
      <c r="B280" s="1" t="s">
        <v>354</v>
      </c>
      <c r="C280" s="1" t="str">
        <f t="shared" si="4"/>
        <v>Quebec</v>
      </c>
      <c r="D280" s="1" t="s">
        <v>28</v>
      </c>
      <c r="E280" s="5">
        <v>50</v>
      </c>
      <c r="F280" s="1" t="s">
        <v>682</v>
      </c>
      <c r="G280" s="1" t="s">
        <v>683</v>
      </c>
      <c r="H280" t="s">
        <v>2270</v>
      </c>
      <c r="I280" s="1" t="s">
        <v>43</v>
      </c>
      <c r="J280" s="1" t="s">
        <v>25</v>
      </c>
      <c r="K280" s="1" t="s">
        <v>31</v>
      </c>
      <c r="L280" s="1" t="s">
        <v>45</v>
      </c>
      <c r="M280" s="1" t="s">
        <v>684</v>
      </c>
      <c r="N280" s="1" t="s">
        <v>22</v>
      </c>
      <c r="O280" s="1" t="s">
        <v>2276</v>
      </c>
    </row>
    <row r="281" spans="1:15" x14ac:dyDescent="0.25">
      <c r="A281">
        <v>1300</v>
      </c>
      <c r="B281" s="1" t="s">
        <v>354</v>
      </c>
      <c r="C281" s="1" t="str">
        <f t="shared" si="4"/>
        <v>Quebec</v>
      </c>
      <c r="D281" s="1" t="s">
        <v>28</v>
      </c>
      <c r="E281" s="5">
        <v>50</v>
      </c>
      <c r="F281" s="1" t="s">
        <v>32</v>
      </c>
      <c r="G281" s="1" t="s">
        <v>680</v>
      </c>
      <c r="H281" t="s">
        <v>2270</v>
      </c>
      <c r="I281" s="1" t="s">
        <v>43</v>
      </c>
      <c r="J281" s="1" t="s">
        <v>25</v>
      </c>
      <c r="K281" s="1" t="s">
        <v>31</v>
      </c>
      <c r="L281" s="1" t="s">
        <v>45</v>
      </c>
      <c r="M281" s="1" t="s">
        <v>685</v>
      </c>
      <c r="N281" s="1" t="s">
        <v>60</v>
      </c>
      <c r="O281" s="1" t="s">
        <v>2276</v>
      </c>
    </row>
    <row r="282" spans="1:15" x14ac:dyDescent="0.25">
      <c r="A282">
        <v>1301</v>
      </c>
      <c r="B282" s="1" t="s">
        <v>354</v>
      </c>
      <c r="C282" s="1" t="str">
        <f t="shared" si="4"/>
        <v>Quebec</v>
      </c>
      <c r="D282" s="1" t="s">
        <v>28</v>
      </c>
      <c r="E282" s="5">
        <v>55</v>
      </c>
      <c r="F282" s="1" t="s">
        <v>686</v>
      </c>
      <c r="G282" s="1" t="s">
        <v>687</v>
      </c>
      <c r="H282" t="s">
        <v>2270</v>
      </c>
      <c r="I282" s="1" t="s">
        <v>40</v>
      </c>
      <c r="J282" s="1" t="s">
        <v>44</v>
      </c>
      <c r="K282" s="1" t="s">
        <v>31</v>
      </c>
      <c r="L282" s="1" t="s">
        <v>91</v>
      </c>
      <c r="M282" s="1" t="s">
        <v>688</v>
      </c>
      <c r="N282" s="1" t="s">
        <v>22</v>
      </c>
      <c r="O282" s="1" t="s">
        <v>2276</v>
      </c>
    </row>
    <row r="283" spans="1:15" x14ac:dyDescent="0.25">
      <c r="A283">
        <v>1302</v>
      </c>
      <c r="B283" s="1" t="s">
        <v>354</v>
      </c>
      <c r="C283" s="1" t="str">
        <f t="shared" si="4"/>
        <v>Quebec</v>
      </c>
      <c r="D283" s="1" t="s">
        <v>28</v>
      </c>
      <c r="E283" s="5">
        <v>50</v>
      </c>
      <c r="F283" s="1" t="s">
        <v>689</v>
      </c>
      <c r="G283" s="1" t="s">
        <v>690</v>
      </c>
      <c r="H283" t="s">
        <v>2270</v>
      </c>
      <c r="I283" s="1" t="s">
        <v>43</v>
      </c>
      <c r="J283" s="1" t="s">
        <v>25</v>
      </c>
      <c r="K283" s="1" t="s">
        <v>31</v>
      </c>
      <c r="L283" s="1" t="s">
        <v>45</v>
      </c>
      <c r="M283" s="1" t="s">
        <v>691</v>
      </c>
      <c r="N283" s="1" t="s">
        <v>60</v>
      </c>
      <c r="O283" s="1" t="s">
        <v>2276</v>
      </c>
    </row>
    <row r="284" spans="1:15" x14ac:dyDescent="0.25">
      <c r="A284">
        <v>1303</v>
      </c>
      <c r="B284" s="1" t="s">
        <v>354</v>
      </c>
      <c r="C284" s="1" t="str">
        <f t="shared" si="4"/>
        <v>Quebec</v>
      </c>
      <c r="D284" s="1" t="s">
        <v>28</v>
      </c>
      <c r="E284" s="5">
        <v>45</v>
      </c>
      <c r="F284" s="1" t="s">
        <v>692</v>
      </c>
      <c r="G284" s="1" t="s">
        <v>693</v>
      </c>
      <c r="H284" t="s">
        <v>2270</v>
      </c>
      <c r="I284" s="1" t="s">
        <v>35</v>
      </c>
      <c r="J284" s="1" t="s">
        <v>25</v>
      </c>
      <c r="K284" s="1" t="s">
        <v>31</v>
      </c>
      <c r="L284" s="1" t="s">
        <v>45</v>
      </c>
      <c r="M284" s="1" t="s">
        <v>694</v>
      </c>
      <c r="N284" s="1" t="s">
        <v>60</v>
      </c>
      <c r="O284" s="1" t="s">
        <v>2276</v>
      </c>
    </row>
    <row r="285" spans="1:15" x14ac:dyDescent="0.25">
      <c r="A285">
        <v>1304</v>
      </c>
      <c r="B285" s="1" t="s">
        <v>354</v>
      </c>
      <c r="C285" s="1" t="str">
        <f t="shared" si="4"/>
        <v>Quebec</v>
      </c>
      <c r="D285" s="1" t="s">
        <v>28</v>
      </c>
      <c r="E285" s="5">
        <v>50</v>
      </c>
      <c r="F285" s="1" t="s">
        <v>695</v>
      </c>
      <c r="G285" s="1" t="s">
        <v>696</v>
      </c>
      <c r="H285" t="s">
        <v>2270</v>
      </c>
      <c r="I285" s="1" t="s">
        <v>43</v>
      </c>
      <c r="J285" s="1" t="s">
        <v>44</v>
      </c>
      <c r="K285" s="1" t="s">
        <v>31</v>
      </c>
      <c r="L285" s="1" t="s">
        <v>45</v>
      </c>
      <c r="M285" s="1" t="s">
        <v>697</v>
      </c>
      <c r="N285" s="1" t="s">
        <v>22</v>
      </c>
      <c r="O285" s="1" t="s">
        <v>2276</v>
      </c>
    </row>
    <row r="286" spans="1:15" x14ac:dyDescent="0.25">
      <c r="A286">
        <v>1305</v>
      </c>
      <c r="B286" s="1" t="s">
        <v>354</v>
      </c>
      <c r="C286" s="1" t="str">
        <f t="shared" si="4"/>
        <v>Quebec</v>
      </c>
      <c r="D286" s="1" t="s">
        <v>28</v>
      </c>
      <c r="E286" s="5">
        <v>55</v>
      </c>
      <c r="F286" s="1" t="s">
        <v>698</v>
      </c>
      <c r="G286" s="1" t="s">
        <v>203</v>
      </c>
      <c r="H286" t="s">
        <v>2270</v>
      </c>
      <c r="I286" s="1" t="s">
        <v>40</v>
      </c>
      <c r="J286" s="1" t="s">
        <v>232</v>
      </c>
      <c r="K286" s="1" t="s">
        <v>31</v>
      </c>
      <c r="L286" s="1" t="s">
        <v>91</v>
      </c>
      <c r="M286" s="1" t="s">
        <v>699</v>
      </c>
      <c r="N286" s="1" t="s">
        <v>22</v>
      </c>
      <c r="O286" s="1" t="s">
        <v>2276</v>
      </c>
    </row>
    <row r="287" spans="1:15" x14ac:dyDescent="0.25">
      <c r="A287">
        <v>1306</v>
      </c>
      <c r="B287" s="1" t="s">
        <v>354</v>
      </c>
      <c r="C287" s="1" t="str">
        <f t="shared" si="4"/>
        <v>Quebec</v>
      </c>
      <c r="D287" s="1" t="s">
        <v>28</v>
      </c>
      <c r="E287" s="5">
        <v>50</v>
      </c>
      <c r="F287" s="1" t="s">
        <v>700</v>
      </c>
      <c r="G287" s="1" t="s">
        <v>701</v>
      </c>
      <c r="H287" t="s">
        <v>2270</v>
      </c>
      <c r="I287" s="1" t="s">
        <v>43</v>
      </c>
      <c r="J287" s="1" t="s">
        <v>25</v>
      </c>
      <c r="K287" s="1" t="s">
        <v>31</v>
      </c>
      <c r="L287" s="1" t="s">
        <v>45</v>
      </c>
      <c r="M287" s="1" t="s">
        <v>702</v>
      </c>
      <c r="N287" s="1" t="s">
        <v>60</v>
      </c>
      <c r="O287" s="1" t="s">
        <v>2276</v>
      </c>
    </row>
    <row r="288" spans="1:15" x14ac:dyDescent="0.25">
      <c r="A288">
        <v>1307</v>
      </c>
      <c r="B288" s="1" t="s">
        <v>354</v>
      </c>
      <c r="C288" s="1" t="str">
        <f t="shared" si="4"/>
        <v>Quebec</v>
      </c>
      <c r="D288" s="1" t="s">
        <v>28</v>
      </c>
      <c r="E288" s="5">
        <v>45</v>
      </c>
      <c r="F288" s="1" t="s">
        <v>703</v>
      </c>
      <c r="G288" s="1" t="s">
        <v>704</v>
      </c>
      <c r="H288" t="s">
        <v>2270</v>
      </c>
      <c r="I288" s="1" t="s">
        <v>17</v>
      </c>
      <c r="J288" s="1" t="s">
        <v>44</v>
      </c>
      <c r="K288" s="1" t="s">
        <v>31</v>
      </c>
      <c r="L288" s="1" t="s">
        <v>91</v>
      </c>
      <c r="M288" s="1" t="s">
        <v>705</v>
      </c>
      <c r="N288" s="1" t="s">
        <v>22</v>
      </c>
      <c r="O288" s="1" t="s">
        <v>2276</v>
      </c>
    </row>
    <row r="289" spans="1:15" x14ac:dyDescent="0.25">
      <c r="A289">
        <v>1308</v>
      </c>
      <c r="B289" s="1" t="s">
        <v>354</v>
      </c>
      <c r="C289" s="1" t="str">
        <f t="shared" si="4"/>
        <v>Quebec</v>
      </c>
      <c r="D289" s="1" t="s">
        <v>28</v>
      </c>
      <c r="E289" s="5">
        <v>50</v>
      </c>
      <c r="F289" s="1" t="s">
        <v>706</v>
      </c>
      <c r="G289" s="1" t="s">
        <v>32</v>
      </c>
      <c r="H289" t="s">
        <v>2270</v>
      </c>
      <c r="I289" s="1" t="s">
        <v>40</v>
      </c>
      <c r="J289" s="1" t="s">
        <v>44</v>
      </c>
      <c r="K289" s="1" t="s">
        <v>31</v>
      </c>
      <c r="L289" s="1" t="s">
        <v>45</v>
      </c>
      <c r="M289" s="1" t="s">
        <v>707</v>
      </c>
      <c r="N289" s="1" t="s">
        <v>22</v>
      </c>
      <c r="O289" s="1" t="s">
        <v>2276</v>
      </c>
    </row>
    <row r="290" spans="1:15" x14ac:dyDescent="0.25">
      <c r="A290">
        <v>1309</v>
      </c>
      <c r="B290" s="1" t="s">
        <v>354</v>
      </c>
      <c r="C290" s="1" t="str">
        <f t="shared" si="4"/>
        <v>Quebec</v>
      </c>
      <c r="D290" s="1" t="s">
        <v>28</v>
      </c>
      <c r="E290" s="5">
        <v>50</v>
      </c>
      <c r="F290" s="1" t="s">
        <v>708</v>
      </c>
      <c r="G290" s="1" t="s">
        <v>690</v>
      </c>
      <c r="H290" t="s">
        <v>2270</v>
      </c>
      <c r="I290" s="1" t="s">
        <v>43</v>
      </c>
      <c r="J290" s="1" t="s">
        <v>25</v>
      </c>
      <c r="K290" s="1" t="s">
        <v>31</v>
      </c>
      <c r="L290" s="1" t="s">
        <v>45</v>
      </c>
      <c r="M290" s="1" t="s">
        <v>709</v>
      </c>
      <c r="N290" s="1" t="s">
        <v>60</v>
      </c>
      <c r="O290" s="1" t="s">
        <v>2276</v>
      </c>
    </row>
    <row r="291" spans="1:15" x14ac:dyDescent="0.25">
      <c r="A291">
        <v>1310</v>
      </c>
      <c r="B291" s="1" t="s">
        <v>354</v>
      </c>
      <c r="C291" s="1" t="str">
        <f t="shared" si="4"/>
        <v>Quebec</v>
      </c>
      <c r="D291" s="1" t="s">
        <v>28</v>
      </c>
      <c r="E291" s="5">
        <v>50</v>
      </c>
      <c r="F291" s="1" t="s">
        <v>710</v>
      </c>
      <c r="G291" s="1" t="s">
        <v>711</v>
      </c>
      <c r="H291" t="s">
        <v>2270</v>
      </c>
      <c r="I291" s="1" t="s">
        <v>43</v>
      </c>
      <c r="J291" s="1" t="s">
        <v>25</v>
      </c>
      <c r="K291" s="1" t="s">
        <v>31</v>
      </c>
      <c r="L291" s="1" t="s">
        <v>45</v>
      </c>
      <c r="M291" s="1" t="s">
        <v>712</v>
      </c>
      <c r="N291" s="1" t="s">
        <v>60</v>
      </c>
      <c r="O291" s="1" t="s">
        <v>2276</v>
      </c>
    </row>
    <row r="292" spans="1:15" x14ac:dyDescent="0.25">
      <c r="A292">
        <v>1311</v>
      </c>
      <c r="B292" s="1" t="s">
        <v>354</v>
      </c>
      <c r="C292" s="1" t="str">
        <f t="shared" si="4"/>
        <v>Quebec</v>
      </c>
      <c r="D292" s="1" t="s">
        <v>14</v>
      </c>
      <c r="E292" s="5">
        <v>48</v>
      </c>
      <c r="F292" s="1" t="s">
        <v>713</v>
      </c>
      <c r="G292" s="1" t="s">
        <v>32</v>
      </c>
      <c r="H292" t="s">
        <v>2270</v>
      </c>
      <c r="I292" s="1" t="s">
        <v>24</v>
      </c>
      <c r="J292" s="1" t="s">
        <v>44</v>
      </c>
      <c r="K292" s="1" t="s">
        <v>19</v>
      </c>
      <c r="L292" s="1" t="s">
        <v>32</v>
      </c>
      <c r="M292" s="1" t="s">
        <v>714</v>
      </c>
      <c r="N292" s="1" t="s">
        <v>22</v>
      </c>
      <c r="O292" s="1" t="s">
        <v>2276</v>
      </c>
    </row>
    <row r="293" spans="1:15" x14ac:dyDescent="0.25">
      <c r="A293">
        <v>1312</v>
      </c>
      <c r="B293" s="1" t="s">
        <v>354</v>
      </c>
      <c r="C293" s="1" t="str">
        <f t="shared" si="4"/>
        <v>Quebec</v>
      </c>
      <c r="D293" s="1" t="s">
        <v>73</v>
      </c>
      <c r="E293" s="5">
        <v>39</v>
      </c>
      <c r="F293" s="1" t="s">
        <v>372</v>
      </c>
      <c r="G293" s="1" t="s">
        <v>715</v>
      </c>
      <c r="H293" t="s">
        <v>2270</v>
      </c>
      <c r="I293" s="1" t="s">
        <v>17</v>
      </c>
      <c r="J293" s="1" t="s">
        <v>25</v>
      </c>
      <c r="K293" s="1" t="s">
        <v>31</v>
      </c>
      <c r="L293" s="1" t="s">
        <v>91</v>
      </c>
      <c r="M293" s="1" t="s">
        <v>716</v>
      </c>
      <c r="N293" s="1" t="s">
        <v>60</v>
      </c>
      <c r="O293" s="1" t="s">
        <v>2276</v>
      </c>
    </row>
    <row r="294" spans="1:15" x14ac:dyDescent="0.25">
      <c r="A294">
        <v>1313</v>
      </c>
      <c r="B294" s="1" t="s">
        <v>354</v>
      </c>
      <c r="C294" s="1" t="str">
        <f t="shared" si="4"/>
        <v>Quebec</v>
      </c>
      <c r="D294" s="1" t="s">
        <v>73</v>
      </c>
      <c r="E294" s="5">
        <v>43</v>
      </c>
      <c r="F294" s="1" t="s">
        <v>717</v>
      </c>
      <c r="G294" s="1" t="s">
        <v>718</v>
      </c>
      <c r="H294" t="s">
        <v>2271</v>
      </c>
      <c r="I294" s="1" t="s">
        <v>24</v>
      </c>
      <c r="J294" s="1" t="s">
        <v>25</v>
      </c>
      <c r="K294" s="1" t="s">
        <v>31</v>
      </c>
      <c r="L294" s="1" t="s">
        <v>91</v>
      </c>
      <c r="M294" s="1" t="s">
        <v>719</v>
      </c>
      <c r="N294" s="1" t="s">
        <v>60</v>
      </c>
      <c r="O294" s="1" t="s">
        <v>2276</v>
      </c>
    </row>
    <row r="295" spans="1:15" x14ac:dyDescent="0.25">
      <c r="A295">
        <v>1314</v>
      </c>
      <c r="B295" s="1" t="s">
        <v>354</v>
      </c>
      <c r="C295" s="1" t="str">
        <f t="shared" si="4"/>
        <v>Quebec</v>
      </c>
      <c r="D295" s="1" t="s">
        <v>73</v>
      </c>
      <c r="E295" s="5">
        <v>43</v>
      </c>
      <c r="F295" s="1" t="s">
        <v>720</v>
      </c>
      <c r="G295" s="1" t="s">
        <v>721</v>
      </c>
      <c r="H295" t="s">
        <v>2270</v>
      </c>
      <c r="I295" s="1" t="s">
        <v>35</v>
      </c>
      <c r="J295" s="1" t="s">
        <v>44</v>
      </c>
      <c r="K295" s="1" t="s">
        <v>31</v>
      </c>
      <c r="L295" s="1" t="s">
        <v>32</v>
      </c>
      <c r="M295" s="1" t="s">
        <v>722</v>
      </c>
      <c r="N295" s="1" t="s">
        <v>22</v>
      </c>
      <c r="O295" s="1" t="s">
        <v>2276</v>
      </c>
    </row>
    <row r="296" spans="1:15" x14ac:dyDescent="0.25">
      <c r="A296">
        <v>1315</v>
      </c>
      <c r="B296" s="1" t="s">
        <v>354</v>
      </c>
      <c r="C296" s="1" t="str">
        <f t="shared" si="4"/>
        <v>Quebec</v>
      </c>
      <c r="D296" s="1" t="s">
        <v>73</v>
      </c>
      <c r="E296" s="5">
        <v>41</v>
      </c>
      <c r="F296" s="1" t="s">
        <v>514</v>
      </c>
      <c r="G296" s="1" t="s">
        <v>32</v>
      </c>
      <c r="H296" t="s">
        <v>2270</v>
      </c>
      <c r="I296" s="1" t="s">
        <v>35</v>
      </c>
      <c r="J296" s="1" t="s">
        <v>18</v>
      </c>
      <c r="K296" s="1" t="s">
        <v>31</v>
      </c>
      <c r="L296" s="1" t="s">
        <v>32</v>
      </c>
      <c r="M296" s="1" t="s">
        <v>723</v>
      </c>
      <c r="N296" s="1" t="s">
        <v>60</v>
      </c>
      <c r="O296" s="1" t="s">
        <v>2276</v>
      </c>
    </row>
    <row r="297" spans="1:15" x14ac:dyDescent="0.25">
      <c r="A297">
        <v>1316</v>
      </c>
      <c r="B297" s="1" t="s">
        <v>354</v>
      </c>
      <c r="C297" s="1" t="str">
        <f t="shared" si="4"/>
        <v>Quebec</v>
      </c>
      <c r="D297" s="1" t="s">
        <v>73</v>
      </c>
      <c r="E297" s="5">
        <v>45</v>
      </c>
      <c r="F297" s="1" t="s">
        <v>724</v>
      </c>
      <c r="G297" s="1" t="s">
        <v>725</v>
      </c>
      <c r="H297" t="s">
        <v>2270</v>
      </c>
      <c r="I297" s="1" t="s">
        <v>35</v>
      </c>
      <c r="J297" s="1" t="s">
        <v>25</v>
      </c>
      <c r="K297" s="1" t="s">
        <v>31</v>
      </c>
      <c r="L297" s="1" t="s">
        <v>91</v>
      </c>
      <c r="M297" s="1" t="s">
        <v>726</v>
      </c>
      <c r="N297" s="1" t="s">
        <v>22</v>
      </c>
      <c r="O297" s="1" t="s">
        <v>2276</v>
      </c>
    </row>
    <row r="298" spans="1:15" x14ac:dyDescent="0.25">
      <c r="A298">
        <v>1317</v>
      </c>
      <c r="B298" s="1" t="s">
        <v>354</v>
      </c>
      <c r="C298" s="1" t="str">
        <f t="shared" si="4"/>
        <v>Quebec</v>
      </c>
      <c r="D298" s="1" t="s">
        <v>73</v>
      </c>
      <c r="E298" s="5">
        <v>41</v>
      </c>
      <c r="F298" s="1" t="s">
        <v>727</v>
      </c>
      <c r="G298" s="1" t="s">
        <v>728</v>
      </c>
      <c r="H298" t="s">
        <v>2270</v>
      </c>
      <c r="I298" s="1" t="s">
        <v>17</v>
      </c>
      <c r="J298" s="1" t="s">
        <v>18</v>
      </c>
      <c r="K298" s="1" t="s">
        <v>31</v>
      </c>
      <c r="L298" s="1" t="s">
        <v>91</v>
      </c>
      <c r="M298" s="1" t="s">
        <v>729</v>
      </c>
      <c r="N298" s="1" t="s">
        <v>60</v>
      </c>
      <c r="O298" s="1" t="s">
        <v>2276</v>
      </c>
    </row>
    <row r="299" spans="1:15" x14ac:dyDescent="0.25">
      <c r="A299">
        <v>1318</v>
      </c>
      <c r="B299" s="1" t="s">
        <v>354</v>
      </c>
      <c r="C299" s="1" t="str">
        <f t="shared" si="4"/>
        <v>Quebec</v>
      </c>
      <c r="D299" s="1" t="s">
        <v>73</v>
      </c>
      <c r="E299" s="5">
        <v>41</v>
      </c>
      <c r="F299" s="1" t="s">
        <v>730</v>
      </c>
      <c r="G299" s="1" t="s">
        <v>731</v>
      </c>
      <c r="H299" t="s">
        <v>2270</v>
      </c>
      <c r="I299" s="1" t="s">
        <v>35</v>
      </c>
      <c r="J299" s="1" t="s">
        <v>25</v>
      </c>
      <c r="K299" s="1" t="s">
        <v>31</v>
      </c>
      <c r="L299" s="1" t="s">
        <v>32</v>
      </c>
      <c r="M299" s="1" t="s">
        <v>732</v>
      </c>
      <c r="N299" s="1" t="s">
        <v>60</v>
      </c>
      <c r="O299" s="1" t="s">
        <v>2276</v>
      </c>
    </row>
    <row r="300" spans="1:15" x14ac:dyDescent="0.25">
      <c r="A300">
        <v>1319</v>
      </c>
      <c r="B300" s="1" t="s">
        <v>354</v>
      </c>
      <c r="C300" s="1" t="str">
        <f t="shared" si="4"/>
        <v>Quebec</v>
      </c>
      <c r="D300" s="1" t="s">
        <v>73</v>
      </c>
      <c r="E300" s="5">
        <v>42</v>
      </c>
      <c r="F300" s="1" t="s">
        <v>733</v>
      </c>
      <c r="G300" s="1" t="s">
        <v>734</v>
      </c>
      <c r="H300" t="s">
        <v>2270</v>
      </c>
      <c r="I300" s="1" t="s">
        <v>17</v>
      </c>
      <c r="J300" s="1" t="s">
        <v>25</v>
      </c>
      <c r="K300" s="1" t="s">
        <v>31</v>
      </c>
      <c r="L300" s="1" t="s">
        <v>32</v>
      </c>
      <c r="M300" s="1" t="s">
        <v>735</v>
      </c>
      <c r="N300" s="1" t="s">
        <v>22</v>
      </c>
      <c r="O300" s="1" t="s">
        <v>2276</v>
      </c>
    </row>
    <row r="301" spans="1:15" x14ac:dyDescent="0.25">
      <c r="A301">
        <v>1320</v>
      </c>
      <c r="B301" s="1" t="s">
        <v>354</v>
      </c>
      <c r="C301" s="1" t="str">
        <f t="shared" si="4"/>
        <v>Quebec</v>
      </c>
      <c r="D301" s="1" t="s">
        <v>73</v>
      </c>
      <c r="E301" s="5">
        <v>42</v>
      </c>
      <c r="F301" s="1" t="s">
        <v>736</v>
      </c>
      <c r="G301" s="1" t="s">
        <v>737</v>
      </c>
      <c r="H301" t="s">
        <v>2270</v>
      </c>
      <c r="I301" s="1" t="s">
        <v>17</v>
      </c>
      <c r="J301" s="1" t="s">
        <v>25</v>
      </c>
      <c r="K301" s="1" t="s">
        <v>31</v>
      </c>
      <c r="L301" s="1" t="s">
        <v>32</v>
      </c>
      <c r="M301" s="1" t="s">
        <v>738</v>
      </c>
      <c r="N301" s="1" t="s">
        <v>22</v>
      </c>
      <c r="O301" s="1" t="s">
        <v>2276</v>
      </c>
    </row>
    <row r="302" spans="1:15" x14ac:dyDescent="0.25">
      <c r="A302">
        <v>1321</v>
      </c>
      <c r="B302" s="1" t="s">
        <v>354</v>
      </c>
      <c r="C302" s="1" t="str">
        <f t="shared" si="4"/>
        <v>Quebec</v>
      </c>
      <c r="D302" s="1" t="s">
        <v>73</v>
      </c>
      <c r="E302" s="5">
        <v>43</v>
      </c>
      <c r="F302" s="1" t="s">
        <v>739</v>
      </c>
      <c r="G302" s="1" t="s">
        <v>740</v>
      </c>
      <c r="H302" t="s">
        <v>2270</v>
      </c>
      <c r="I302" s="1" t="s">
        <v>24</v>
      </c>
      <c r="J302" s="1" t="s">
        <v>25</v>
      </c>
      <c r="K302" s="1" t="s">
        <v>31</v>
      </c>
      <c r="L302" s="1" t="s">
        <v>91</v>
      </c>
      <c r="M302" s="1" t="s">
        <v>741</v>
      </c>
      <c r="N302" s="1" t="s">
        <v>60</v>
      </c>
      <c r="O302" s="1" t="s">
        <v>2276</v>
      </c>
    </row>
    <row r="303" spans="1:15" x14ac:dyDescent="0.25">
      <c r="A303">
        <v>1322</v>
      </c>
      <c r="B303" s="1" t="s">
        <v>354</v>
      </c>
      <c r="C303" s="1" t="str">
        <f t="shared" si="4"/>
        <v>Quebec</v>
      </c>
      <c r="D303" s="1" t="s">
        <v>73</v>
      </c>
      <c r="E303" s="5">
        <v>55</v>
      </c>
      <c r="F303" s="1" t="s">
        <v>742</v>
      </c>
      <c r="G303" s="1" t="s">
        <v>743</v>
      </c>
      <c r="H303" t="s">
        <v>2270</v>
      </c>
      <c r="I303" s="1" t="s">
        <v>40</v>
      </c>
      <c r="J303" s="1" t="s">
        <v>44</v>
      </c>
      <c r="K303" s="1" t="s">
        <v>31</v>
      </c>
      <c r="L303" s="1" t="s">
        <v>91</v>
      </c>
      <c r="M303" s="1" t="s">
        <v>744</v>
      </c>
      <c r="N303" s="1" t="s">
        <v>22</v>
      </c>
      <c r="O303" s="1" t="s">
        <v>2276</v>
      </c>
    </row>
    <row r="304" spans="1:15" x14ac:dyDescent="0.25">
      <c r="A304">
        <v>1323</v>
      </c>
      <c r="B304" s="1" t="s">
        <v>354</v>
      </c>
      <c r="C304" s="1" t="str">
        <f t="shared" si="4"/>
        <v>Quebec</v>
      </c>
      <c r="D304" s="1" t="s">
        <v>73</v>
      </c>
      <c r="E304" s="5">
        <v>65</v>
      </c>
      <c r="F304" s="1" t="s">
        <v>745</v>
      </c>
      <c r="G304" s="1" t="s">
        <v>743</v>
      </c>
      <c r="H304" t="s">
        <v>2270</v>
      </c>
      <c r="I304" s="1" t="s">
        <v>40</v>
      </c>
      <c r="J304" s="1" t="s">
        <v>25</v>
      </c>
      <c r="K304" s="1" t="s">
        <v>31</v>
      </c>
      <c r="L304" s="1" t="s">
        <v>91</v>
      </c>
      <c r="M304" s="1" t="s">
        <v>746</v>
      </c>
      <c r="N304" s="1" t="s">
        <v>22</v>
      </c>
      <c r="O304" s="1" t="s">
        <v>2276</v>
      </c>
    </row>
    <row r="305" spans="1:15" x14ac:dyDescent="0.25">
      <c r="A305">
        <v>1324</v>
      </c>
      <c r="B305" s="1" t="s">
        <v>354</v>
      </c>
      <c r="C305" s="1" t="str">
        <f t="shared" si="4"/>
        <v>Quebec</v>
      </c>
      <c r="D305" s="1" t="s">
        <v>73</v>
      </c>
      <c r="E305" s="5">
        <v>40</v>
      </c>
      <c r="F305" s="1" t="s">
        <v>733</v>
      </c>
      <c r="G305" s="1" t="s">
        <v>747</v>
      </c>
      <c r="H305" t="s">
        <v>2270</v>
      </c>
      <c r="I305" s="1" t="s">
        <v>17</v>
      </c>
      <c r="J305" s="1" t="s">
        <v>25</v>
      </c>
      <c r="K305" s="1" t="s">
        <v>31</v>
      </c>
      <c r="L305" s="1" t="s">
        <v>91</v>
      </c>
      <c r="M305" s="1" t="s">
        <v>748</v>
      </c>
      <c r="N305" s="1" t="s">
        <v>22</v>
      </c>
      <c r="O305" s="1" t="s">
        <v>2276</v>
      </c>
    </row>
    <row r="306" spans="1:15" x14ac:dyDescent="0.25">
      <c r="A306">
        <v>1325</v>
      </c>
      <c r="B306" s="1" t="s">
        <v>354</v>
      </c>
      <c r="C306" s="1" t="str">
        <f t="shared" si="4"/>
        <v>Quebec</v>
      </c>
      <c r="D306" s="1" t="s">
        <v>73</v>
      </c>
      <c r="E306" s="5">
        <v>43</v>
      </c>
      <c r="F306" s="1" t="s">
        <v>47</v>
      </c>
      <c r="G306" s="1" t="s">
        <v>749</v>
      </c>
      <c r="H306" t="s">
        <v>2270</v>
      </c>
      <c r="I306" s="1" t="s">
        <v>17</v>
      </c>
      <c r="J306" s="1" t="s">
        <v>44</v>
      </c>
      <c r="K306" s="1" t="s">
        <v>31</v>
      </c>
      <c r="L306" s="1" t="s">
        <v>91</v>
      </c>
      <c r="M306" s="1" t="s">
        <v>750</v>
      </c>
      <c r="N306" s="1" t="s">
        <v>22</v>
      </c>
      <c r="O306" s="1" t="s">
        <v>2276</v>
      </c>
    </row>
    <row r="307" spans="1:15" x14ac:dyDescent="0.25">
      <c r="A307">
        <v>1326</v>
      </c>
      <c r="B307" s="1" t="s">
        <v>354</v>
      </c>
      <c r="C307" s="1" t="str">
        <f t="shared" si="4"/>
        <v>Quebec</v>
      </c>
      <c r="D307" s="1" t="s">
        <v>28</v>
      </c>
      <c r="E307" s="5">
        <v>76</v>
      </c>
      <c r="F307" s="1" t="s">
        <v>751</v>
      </c>
      <c r="G307" s="1" t="s">
        <v>752</v>
      </c>
      <c r="H307" t="s">
        <v>2270</v>
      </c>
      <c r="I307" s="1" t="s">
        <v>43</v>
      </c>
      <c r="J307" s="1" t="s">
        <v>25</v>
      </c>
      <c r="K307" s="1" t="s">
        <v>31</v>
      </c>
      <c r="L307" s="1" t="s">
        <v>91</v>
      </c>
      <c r="M307" s="1" t="s">
        <v>753</v>
      </c>
      <c r="N307" s="1" t="s">
        <v>22</v>
      </c>
      <c r="O307" s="1" t="s">
        <v>2276</v>
      </c>
    </row>
    <row r="308" spans="1:15" x14ac:dyDescent="0.25">
      <c r="A308">
        <v>1327</v>
      </c>
      <c r="B308" s="1" t="s">
        <v>354</v>
      </c>
      <c r="C308" s="1" t="str">
        <f t="shared" si="4"/>
        <v>Quebec</v>
      </c>
      <c r="D308" s="1" t="s">
        <v>28</v>
      </c>
      <c r="E308" s="5">
        <v>78</v>
      </c>
      <c r="F308" s="1" t="s">
        <v>751</v>
      </c>
      <c r="G308" s="1" t="s">
        <v>752</v>
      </c>
      <c r="H308" t="s">
        <v>2270</v>
      </c>
      <c r="I308" s="1" t="s">
        <v>43</v>
      </c>
      <c r="J308" s="1" t="s">
        <v>25</v>
      </c>
      <c r="K308" s="1" t="s">
        <v>31</v>
      </c>
      <c r="L308" s="1" t="s">
        <v>91</v>
      </c>
      <c r="M308" s="1" t="s">
        <v>754</v>
      </c>
      <c r="N308" s="1" t="s">
        <v>22</v>
      </c>
      <c r="O308" s="1" t="s">
        <v>2276</v>
      </c>
    </row>
    <row r="309" spans="1:15" x14ac:dyDescent="0.25">
      <c r="A309">
        <v>1329</v>
      </c>
      <c r="B309" s="1" t="s">
        <v>354</v>
      </c>
      <c r="C309" s="1" t="str">
        <f t="shared" si="4"/>
        <v>Quebec</v>
      </c>
      <c r="D309" s="1" t="s">
        <v>28</v>
      </c>
      <c r="E309" s="5">
        <v>50</v>
      </c>
      <c r="F309" s="1" t="s">
        <v>755</v>
      </c>
      <c r="G309" s="1" t="s">
        <v>756</v>
      </c>
      <c r="H309" t="s">
        <v>2270</v>
      </c>
      <c r="I309" s="1" t="s">
        <v>43</v>
      </c>
      <c r="J309" s="1" t="s">
        <v>25</v>
      </c>
      <c r="K309" s="1" t="s">
        <v>31</v>
      </c>
      <c r="L309" s="1" t="s">
        <v>45</v>
      </c>
      <c r="M309" s="1" t="s">
        <v>757</v>
      </c>
      <c r="N309" s="1" t="s">
        <v>22</v>
      </c>
      <c r="O309" s="1" t="s">
        <v>2276</v>
      </c>
    </row>
    <row r="310" spans="1:15" x14ac:dyDescent="0.25">
      <c r="A310">
        <v>1330</v>
      </c>
      <c r="B310" s="1" t="s">
        <v>354</v>
      </c>
      <c r="C310" s="1" t="str">
        <f t="shared" si="4"/>
        <v>Quebec</v>
      </c>
      <c r="D310" s="1" t="s">
        <v>28</v>
      </c>
      <c r="E310" s="5">
        <v>45</v>
      </c>
      <c r="F310" s="1" t="s">
        <v>758</v>
      </c>
      <c r="G310" s="1" t="s">
        <v>759</v>
      </c>
      <c r="H310" t="s">
        <v>2270</v>
      </c>
      <c r="I310" s="1" t="s">
        <v>43</v>
      </c>
      <c r="J310" s="1" t="s">
        <v>25</v>
      </c>
      <c r="K310" s="1" t="s">
        <v>31</v>
      </c>
      <c r="L310" s="1" t="s">
        <v>45</v>
      </c>
      <c r="M310" s="1" t="s">
        <v>760</v>
      </c>
      <c r="N310" s="1" t="s">
        <v>60</v>
      </c>
      <c r="O310" s="1" t="s">
        <v>2276</v>
      </c>
    </row>
    <row r="311" spans="1:15" x14ac:dyDescent="0.25">
      <c r="A311">
        <v>1331</v>
      </c>
      <c r="B311" s="1" t="s">
        <v>354</v>
      </c>
      <c r="C311" s="1" t="str">
        <f t="shared" si="4"/>
        <v>Quebec</v>
      </c>
      <c r="D311" s="1" t="s">
        <v>28</v>
      </c>
      <c r="E311" s="5">
        <v>56</v>
      </c>
      <c r="F311" s="1" t="s">
        <v>32</v>
      </c>
      <c r="G311" s="1" t="s">
        <v>543</v>
      </c>
      <c r="H311" t="s">
        <v>2270</v>
      </c>
      <c r="I311" s="1" t="s">
        <v>43</v>
      </c>
      <c r="J311" s="1" t="s">
        <v>44</v>
      </c>
      <c r="K311" s="1" t="s">
        <v>31</v>
      </c>
      <c r="L311" s="1" t="s">
        <v>45</v>
      </c>
      <c r="M311" s="1" t="s">
        <v>761</v>
      </c>
      <c r="N311" s="1" t="s">
        <v>22</v>
      </c>
      <c r="O311" s="1" t="s">
        <v>2276</v>
      </c>
    </row>
    <row r="312" spans="1:15" x14ac:dyDescent="0.25">
      <c r="A312">
        <v>1332</v>
      </c>
      <c r="B312" s="1" t="s">
        <v>354</v>
      </c>
      <c r="C312" s="1" t="str">
        <f t="shared" si="4"/>
        <v>Quebec</v>
      </c>
      <c r="D312" s="1" t="s">
        <v>28</v>
      </c>
      <c r="E312" s="5">
        <v>56</v>
      </c>
      <c r="F312" s="1" t="s">
        <v>47</v>
      </c>
      <c r="G312" s="1" t="s">
        <v>762</v>
      </c>
      <c r="H312" t="s">
        <v>2270</v>
      </c>
      <c r="I312" s="1" t="s">
        <v>43</v>
      </c>
      <c r="J312" s="1" t="s">
        <v>44</v>
      </c>
      <c r="K312" s="1" t="s">
        <v>31</v>
      </c>
      <c r="L312" s="1" t="s">
        <v>45</v>
      </c>
      <c r="M312" s="1" t="s">
        <v>763</v>
      </c>
      <c r="N312" s="1" t="s">
        <v>22</v>
      </c>
      <c r="O312" s="1" t="s">
        <v>2276</v>
      </c>
    </row>
    <row r="313" spans="1:15" x14ac:dyDescent="0.25">
      <c r="A313">
        <v>1333</v>
      </c>
      <c r="B313" s="1" t="s">
        <v>354</v>
      </c>
      <c r="C313" s="1" t="str">
        <f t="shared" si="4"/>
        <v>Quebec</v>
      </c>
      <c r="D313" s="1" t="s">
        <v>28</v>
      </c>
      <c r="E313" s="5">
        <v>56</v>
      </c>
      <c r="F313" s="1" t="s">
        <v>764</v>
      </c>
      <c r="G313" s="1" t="s">
        <v>543</v>
      </c>
      <c r="H313" t="s">
        <v>2270</v>
      </c>
      <c r="I313" s="1" t="s">
        <v>43</v>
      </c>
      <c r="J313" s="1" t="s">
        <v>44</v>
      </c>
      <c r="K313" s="1" t="s">
        <v>31</v>
      </c>
      <c r="L313" s="1" t="s">
        <v>45</v>
      </c>
      <c r="M313" s="1" t="s">
        <v>765</v>
      </c>
      <c r="N313" s="1" t="s">
        <v>22</v>
      </c>
      <c r="O313" s="1" t="s">
        <v>2276</v>
      </c>
    </row>
    <row r="314" spans="1:15" x14ac:dyDescent="0.25">
      <c r="A314">
        <v>1334</v>
      </c>
      <c r="B314" s="1" t="s">
        <v>354</v>
      </c>
      <c r="C314" s="1" t="str">
        <f t="shared" si="4"/>
        <v>Quebec</v>
      </c>
      <c r="D314" s="1" t="s">
        <v>28</v>
      </c>
      <c r="E314" s="5">
        <v>56</v>
      </c>
      <c r="F314" s="1" t="s">
        <v>32</v>
      </c>
      <c r="G314" s="1" t="s">
        <v>543</v>
      </c>
      <c r="H314" t="s">
        <v>2270</v>
      </c>
      <c r="I314" s="1" t="s">
        <v>43</v>
      </c>
      <c r="J314" s="1" t="s">
        <v>44</v>
      </c>
      <c r="K314" s="1" t="s">
        <v>31</v>
      </c>
      <c r="L314" s="1" t="s">
        <v>45</v>
      </c>
      <c r="M314" s="1" t="s">
        <v>766</v>
      </c>
      <c r="N314" s="1" t="s">
        <v>22</v>
      </c>
      <c r="O314" s="1" t="s">
        <v>2276</v>
      </c>
    </row>
    <row r="315" spans="1:15" x14ac:dyDescent="0.25">
      <c r="A315">
        <v>1335</v>
      </c>
      <c r="B315" s="1" t="s">
        <v>354</v>
      </c>
      <c r="C315" s="1" t="str">
        <f t="shared" si="4"/>
        <v>Quebec</v>
      </c>
      <c r="D315" s="1" t="s">
        <v>28</v>
      </c>
      <c r="E315" s="5">
        <v>50</v>
      </c>
      <c r="F315" s="1" t="s">
        <v>767</v>
      </c>
      <c r="G315" s="1" t="s">
        <v>768</v>
      </c>
      <c r="H315" t="s">
        <v>2270</v>
      </c>
      <c r="I315" s="1" t="s">
        <v>43</v>
      </c>
      <c r="J315" s="1" t="s">
        <v>25</v>
      </c>
      <c r="K315" s="1" t="s">
        <v>31</v>
      </c>
      <c r="L315" s="1" t="s">
        <v>45</v>
      </c>
      <c r="M315" s="1" t="s">
        <v>769</v>
      </c>
      <c r="N315" s="1" t="s">
        <v>22</v>
      </c>
      <c r="O315" s="1" t="s">
        <v>2276</v>
      </c>
    </row>
    <row r="316" spans="1:15" x14ac:dyDescent="0.25">
      <c r="A316">
        <v>1336</v>
      </c>
      <c r="B316" s="1" t="s">
        <v>354</v>
      </c>
      <c r="C316" s="1" t="str">
        <f t="shared" si="4"/>
        <v>Quebec</v>
      </c>
      <c r="D316" s="1" t="s">
        <v>28</v>
      </c>
      <c r="E316" s="5">
        <v>50</v>
      </c>
      <c r="F316" s="1" t="s">
        <v>770</v>
      </c>
      <c r="G316" s="1" t="s">
        <v>768</v>
      </c>
      <c r="H316" t="s">
        <v>2270</v>
      </c>
      <c r="I316" s="1" t="s">
        <v>43</v>
      </c>
      <c r="J316" s="1" t="s">
        <v>25</v>
      </c>
      <c r="K316" s="1" t="s">
        <v>31</v>
      </c>
      <c r="L316" s="1" t="s">
        <v>45</v>
      </c>
      <c r="M316" s="1" t="s">
        <v>771</v>
      </c>
      <c r="N316" s="1" t="s">
        <v>22</v>
      </c>
      <c r="O316" s="1" t="s">
        <v>2276</v>
      </c>
    </row>
    <row r="317" spans="1:15" x14ac:dyDescent="0.25">
      <c r="A317">
        <v>1337</v>
      </c>
      <c r="B317" s="1" t="s">
        <v>354</v>
      </c>
      <c r="C317" s="1" t="str">
        <f t="shared" si="4"/>
        <v>Quebec</v>
      </c>
      <c r="D317" s="1" t="s">
        <v>28</v>
      </c>
      <c r="E317" s="5">
        <v>55</v>
      </c>
      <c r="F317" s="1" t="s">
        <v>772</v>
      </c>
      <c r="G317" s="1" t="s">
        <v>428</v>
      </c>
      <c r="H317" t="s">
        <v>2270</v>
      </c>
      <c r="I317" s="1" t="s">
        <v>24</v>
      </c>
      <c r="J317" s="1" t="s">
        <v>25</v>
      </c>
      <c r="K317" s="1" t="s">
        <v>31</v>
      </c>
      <c r="L317" s="1" t="s">
        <v>91</v>
      </c>
      <c r="M317" s="1" t="s">
        <v>773</v>
      </c>
      <c r="N317" s="1" t="s">
        <v>22</v>
      </c>
      <c r="O317" s="1" t="s">
        <v>2276</v>
      </c>
    </row>
    <row r="318" spans="1:15" x14ac:dyDescent="0.25">
      <c r="A318">
        <v>1338</v>
      </c>
      <c r="B318" s="1" t="s">
        <v>354</v>
      </c>
      <c r="C318" s="1" t="str">
        <f t="shared" si="4"/>
        <v>Quebec</v>
      </c>
      <c r="D318" s="1" t="s">
        <v>28</v>
      </c>
      <c r="E318" s="5">
        <v>46</v>
      </c>
      <c r="F318" s="1" t="s">
        <v>774</v>
      </c>
      <c r="G318" s="1" t="s">
        <v>775</v>
      </c>
      <c r="H318" t="s">
        <v>2270</v>
      </c>
      <c r="I318" s="1" t="s">
        <v>24</v>
      </c>
      <c r="J318" s="1" t="s">
        <v>25</v>
      </c>
      <c r="K318" s="1" t="s">
        <v>31</v>
      </c>
      <c r="L318" s="1" t="s">
        <v>32</v>
      </c>
      <c r="M318" s="1" t="s">
        <v>776</v>
      </c>
      <c r="N318" s="1" t="s">
        <v>22</v>
      </c>
      <c r="O318" s="1" t="s">
        <v>2276</v>
      </c>
    </row>
    <row r="319" spans="1:15" x14ac:dyDescent="0.25">
      <c r="A319">
        <v>1339</v>
      </c>
      <c r="B319" s="1" t="s">
        <v>354</v>
      </c>
      <c r="C319" s="1" t="str">
        <f t="shared" si="4"/>
        <v>Quebec</v>
      </c>
      <c r="D319" s="1" t="s">
        <v>28</v>
      </c>
      <c r="E319" s="5">
        <v>47</v>
      </c>
      <c r="F319" s="1" t="s">
        <v>777</v>
      </c>
      <c r="G319" s="1" t="s">
        <v>778</v>
      </c>
      <c r="H319" t="s">
        <v>2270</v>
      </c>
      <c r="I319" s="1" t="s">
        <v>24</v>
      </c>
      <c r="J319" s="1" t="s">
        <v>25</v>
      </c>
      <c r="K319" s="1" t="s">
        <v>31</v>
      </c>
      <c r="L319" s="1" t="s">
        <v>20</v>
      </c>
      <c r="M319" s="1" t="s">
        <v>779</v>
      </c>
      <c r="N319" s="1" t="s">
        <v>22</v>
      </c>
      <c r="O319" s="1" t="s">
        <v>2276</v>
      </c>
    </row>
    <row r="320" spans="1:15" x14ac:dyDescent="0.25">
      <c r="A320">
        <v>1340</v>
      </c>
      <c r="B320" s="1" t="s">
        <v>354</v>
      </c>
      <c r="C320" s="1" t="str">
        <f t="shared" si="4"/>
        <v>Quebec</v>
      </c>
      <c r="D320" s="1" t="s">
        <v>28</v>
      </c>
      <c r="E320" s="5">
        <v>42</v>
      </c>
      <c r="F320" s="1" t="s">
        <v>780</v>
      </c>
      <c r="G320" s="1" t="s">
        <v>32</v>
      </c>
      <c r="H320" t="s">
        <v>2270</v>
      </c>
      <c r="I320" s="1" t="s">
        <v>17</v>
      </c>
      <c r="J320" s="1" t="s">
        <v>25</v>
      </c>
      <c r="K320" s="1" t="s">
        <v>31</v>
      </c>
      <c r="L320" s="1" t="s">
        <v>20</v>
      </c>
      <c r="M320" s="1" t="s">
        <v>781</v>
      </c>
      <c r="N320" s="1" t="s">
        <v>22</v>
      </c>
      <c r="O320" s="1" t="s">
        <v>2276</v>
      </c>
    </row>
    <row r="321" spans="1:15" x14ac:dyDescent="0.25">
      <c r="A321">
        <v>1341</v>
      </c>
      <c r="B321" s="1" t="s">
        <v>354</v>
      </c>
      <c r="C321" s="1" t="str">
        <f t="shared" si="4"/>
        <v>Quebec</v>
      </c>
      <c r="D321" s="1" t="s">
        <v>28</v>
      </c>
      <c r="E321" s="5">
        <v>55</v>
      </c>
      <c r="F321" s="1" t="s">
        <v>230</v>
      </c>
      <c r="G321" s="1" t="s">
        <v>782</v>
      </c>
      <c r="H321" t="s">
        <v>2270</v>
      </c>
      <c r="I321" s="1" t="s">
        <v>43</v>
      </c>
      <c r="J321" s="1" t="s">
        <v>25</v>
      </c>
      <c r="K321" s="1" t="s">
        <v>31</v>
      </c>
      <c r="L321" s="1" t="s">
        <v>91</v>
      </c>
      <c r="M321" s="1" t="s">
        <v>783</v>
      </c>
      <c r="N321" s="1" t="s">
        <v>22</v>
      </c>
      <c r="O321" s="1" t="s">
        <v>2276</v>
      </c>
    </row>
    <row r="322" spans="1:15" x14ac:dyDescent="0.25">
      <c r="A322">
        <v>1342</v>
      </c>
      <c r="B322" s="1" t="s">
        <v>354</v>
      </c>
      <c r="C322" s="1" t="str">
        <f t="shared" ref="C322:C385" si="5">IF(B322="NB","New Brunswick",IF(B322="AB","Alberta",IF(B322="BC","British Columbia",IF(B322="MB","Manitoba",IF(B322="NL","Newfoundland and Labrador",IF(B322="NS","Nova Scotia",IF(B322="ON","Ontario",IF(B322="PE","Prince Edward Island",IF(B322="QC","Quebec",IF(B322="SK","Saskatchewan",""))))))))))</f>
        <v>Quebec</v>
      </c>
      <c r="D322" s="1" t="s">
        <v>28</v>
      </c>
      <c r="E322" s="5">
        <v>57</v>
      </c>
      <c r="F322" s="1" t="s">
        <v>230</v>
      </c>
      <c r="G322" s="1" t="s">
        <v>782</v>
      </c>
      <c r="H322" t="s">
        <v>2270</v>
      </c>
      <c r="I322" s="1" t="s">
        <v>43</v>
      </c>
      <c r="J322" s="1" t="s">
        <v>25</v>
      </c>
      <c r="K322" s="1" t="s">
        <v>31</v>
      </c>
      <c r="L322" s="1" t="s">
        <v>91</v>
      </c>
      <c r="M322" s="1" t="s">
        <v>784</v>
      </c>
      <c r="N322" s="1" t="s">
        <v>22</v>
      </c>
      <c r="O322" s="1" t="s">
        <v>2276</v>
      </c>
    </row>
    <row r="323" spans="1:15" x14ac:dyDescent="0.25">
      <c r="A323">
        <v>1343</v>
      </c>
      <c r="B323" s="1" t="s">
        <v>354</v>
      </c>
      <c r="C323" s="1" t="str">
        <f t="shared" si="5"/>
        <v>Quebec</v>
      </c>
      <c r="D323" s="1" t="s">
        <v>28</v>
      </c>
      <c r="E323" s="5">
        <v>42</v>
      </c>
      <c r="F323" s="1" t="s">
        <v>785</v>
      </c>
      <c r="G323" s="1" t="s">
        <v>32</v>
      </c>
      <c r="H323" t="s">
        <v>2270</v>
      </c>
      <c r="I323" s="1" t="s">
        <v>17</v>
      </c>
      <c r="J323" s="1" t="s">
        <v>25</v>
      </c>
      <c r="K323" s="1" t="s">
        <v>31</v>
      </c>
      <c r="L323" s="1" t="s">
        <v>20</v>
      </c>
      <c r="M323" s="1" t="s">
        <v>786</v>
      </c>
      <c r="N323" s="1" t="s">
        <v>22</v>
      </c>
      <c r="O323" s="1" t="s">
        <v>2276</v>
      </c>
    </row>
    <row r="324" spans="1:15" x14ac:dyDescent="0.25">
      <c r="A324">
        <v>1344</v>
      </c>
      <c r="B324" s="1" t="s">
        <v>354</v>
      </c>
      <c r="C324" s="1" t="str">
        <f t="shared" si="5"/>
        <v>Quebec</v>
      </c>
      <c r="D324" s="1" t="s">
        <v>28</v>
      </c>
      <c r="E324" s="5">
        <v>50</v>
      </c>
      <c r="F324" s="1" t="s">
        <v>375</v>
      </c>
      <c r="G324" s="1" t="s">
        <v>787</v>
      </c>
      <c r="H324" t="s">
        <v>2270</v>
      </c>
      <c r="I324" s="1" t="s">
        <v>43</v>
      </c>
      <c r="J324" s="1" t="s">
        <v>25</v>
      </c>
      <c r="K324" s="1" t="s">
        <v>31</v>
      </c>
      <c r="L324" s="1" t="s">
        <v>20</v>
      </c>
      <c r="M324" s="1" t="s">
        <v>788</v>
      </c>
      <c r="N324" s="1" t="s">
        <v>22</v>
      </c>
      <c r="O324" s="1" t="s">
        <v>2276</v>
      </c>
    </row>
    <row r="325" spans="1:15" x14ac:dyDescent="0.25">
      <c r="A325">
        <v>1345</v>
      </c>
      <c r="B325" s="1" t="s">
        <v>354</v>
      </c>
      <c r="C325" s="1" t="str">
        <f t="shared" si="5"/>
        <v>Quebec</v>
      </c>
      <c r="D325" s="1" t="s">
        <v>28</v>
      </c>
      <c r="E325" s="5">
        <v>55</v>
      </c>
      <c r="F325" s="1" t="s">
        <v>789</v>
      </c>
      <c r="G325" s="1" t="s">
        <v>790</v>
      </c>
      <c r="H325" t="s">
        <v>2270</v>
      </c>
      <c r="I325" s="1" t="s">
        <v>43</v>
      </c>
      <c r="J325" s="1" t="s">
        <v>25</v>
      </c>
      <c r="K325" s="1" t="s">
        <v>31</v>
      </c>
      <c r="L325" s="1" t="s">
        <v>91</v>
      </c>
      <c r="M325" s="1" t="s">
        <v>791</v>
      </c>
      <c r="N325" s="1" t="s">
        <v>22</v>
      </c>
      <c r="O325" s="1" t="s">
        <v>2276</v>
      </c>
    </row>
    <row r="326" spans="1:15" x14ac:dyDescent="0.25">
      <c r="A326">
        <v>1346</v>
      </c>
      <c r="B326" s="1" t="s">
        <v>354</v>
      </c>
      <c r="C326" s="1" t="str">
        <f t="shared" si="5"/>
        <v>Quebec</v>
      </c>
      <c r="D326" s="1" t="s">
        <v>28</v>
      </c>
      <c r="E326" s="5">
        <v>55</v>
      </c>
      <c r="F326" s="1" t="s">
        <v>789</v>
      </c>
      <c r="G326" s="1" t="s">
        <v>792</v>
      </c>
      <c r="H326" t="s">
        <v>2270</v>
      </c>
      <c r="I326" s="1" t="s">
        <v>43</v>
      </c>
      <c r="J326" s="1" t="s">
        <v>44</v>
      </c>
      <c r="K326" s="1" t="s">
        <v>31</v>
      </c>
      <c r="L326" s="1" t="s">
        <v>91</v>
      </c>
      <c r="M326" s="1" t="s">
        <v>793</v>
      </c>
      <c r="N326" s="1" t="s">
        <v>22</v>
      </c>
      <c r="O326" s="1" t="s">
        <v>2276</v>
      </c>
    </row>
    <row r="327" spans="1:15" x14ac:dyDescent="0.25">
      <c r="A327">
        <v>1347</v>
      </c>
      <c r="B327" s="1" t="s">
        <v>354</v>
      </c>
      <c r="C327" s="1" t="str">
        <f t="shared" si="5"/>
        <v>Quebec</v>
      </c>
      <c r="D327" s="1" t="s">
        <v>28</v>
      </c>
      <c r="E327" s="5">
        <v>58</v>
      </c>
      <c r="F327" s="1" t="s">
        <v>794</v>
      </c>
      <c r="G327" s="1" t="s">
        <v>768</v>
      </c>
      <c r="H327" t="s">
        <v>2270</v>
      </c>
      <c r="I327" s="1" t="s">
        <v>43</v>
      </c>
      <c r="J327" s="1" t="s">
        <v>25</v>
      </c>
      <c r="K327" s="1" t="s">
        <v>31</v>
      </c>
      <c r="L327" s="1" t="s">
        <v>45</v>
      </c>
      <c r="M327" s="1" t="s">
        <v>795</v>
      </c>
      <c r="N327" s="1" t="s">
        <v>22</v>
      </c>
      <c r="O327" s="1" t="s">
        <v>2276</v>
      </c>
    </row>
    <row r="328" spans="1:15" x14ac:dyDescent="0.25">
      <c r="A328">
        <v>1348</v>
      </c>
      <c r="B328" s="1" t="s">
        <v>354</v>
      </c>
      <c r="C328" s="1" t="str">
        <f t="shared" si="5"/>
        <v>Quebec</v>
      </c>
      <c r="D328" s="1" t="s">
        <v>28</v>
      </c>
      <c r="E328" s="5">
        <v>56</v>
      </c>
      <c r="F328" s="1" t="s">
        <v>796</v>
      </c>
      <c r="G328" s="1" t="s">
        <v>543</v>
      </c>
      <c r="H328" t="s">
        <v>2270</v>
      </c>
      <c r="I328" s="1" t="s">
        <v>43</v>
      </c>
      <c r="J328" s="1" t="s">
        <v>25</v>
      </c>
      <c r="K328" s="1" t="s">
        <v>31</v>
      </c>
      <c r="L328" s="1" t="s">
        <v>45</v>
      </c>
      <c r="M328" s="1" t="s">
        <v>797</v>
      </c>
      <c r="N328" s="1" t="s">
        <v>22</v>
      </c>
      <c r="O328" s="1" t="s">
        <v>2276</v>
      </c>
    </row>
    <row r="329" spans="1:15" x14ac:dyDescent="0.25">
      <c r="A329">
        <v>1349</v>
      </c>
      <c r="B329" s="1" t="s">
        <v>354</v>
      </c>
      <c r="C329" s="1" t="str">
        <f t="shared" si="5"/>
        <v>Quebec</v>
      </c>
      <c r="D329" s="1" t="s">
        <v>28</v>
      </c>
      <c r="E329" s="5">
        <v>57</v>
      </c>
      <c r="F329" s="1" t="s">
        <v>798</v>
      </c>
      <c r="G329" s="1" t="s">
        <v>768</v>
      </c>
      <c r="H329" t="s">
        <v>2270</v>
      </c>
      <c r="I329" s="1" t="s">
        <v>43</v>
      </c>
      <c r="J329" s="1" t="s">
        <v>25</v>
      </c>
      <c r="K329" s="1" t="s">
        <v>31</v>
      </c>
      <c r="L329" s="1" t="s">
        <v>45</v>
      </c>
      <c r="M329" s="1" t="s">
        <v>799</v>
      </c>
      <c r="N329" s="1" t="s">
        <v>22</v>
      </c>
      <c r="O329" s="1" t="s">
        <v>2276</v>
      </c>
    </row>
    <row r="330" spans="1:15" x14ac:dyDescent="0.25">
      <c r="A330">
        <v>1350</v>
      </c>
      <c r="B330" s="1" t="s">
        <v>354</v>
      </c>
      <c r="C330" s="1" t="str">
        <f t="shared" si="5"/>
        <v>Quebec</v>
      </c>
      <c r="D330" s="1" t="s">
        <v>28</v>
      </c>
      <c r="E330" s="5">
        <v>50</v>
      </c>
      <c r="F330" s="1" t="s">
        <v>800</v>
      </c>
      <c r="G330" s="1" t="s">
        <v>768</v>
      </c>
      <c r="H330" t="s">
        <v>2270</v>
      </c>
      <c r="I330" s="1" t="s">
        <v>43</v>
      </c>
      <c r="J330" s="1" t="s">
        <v>25</v>
      </c>
      <c r="K330" s="1" t="s">
        <v>31</v>
      </c>
      <c r="L330" s="1" t="s">
        <v>45</v>
      </c>
      <c r="M330" s="1" t="s">
        <v>801</v>
      </c>
      <c r="N330" s="1" t="s">
        <v>22</v>
      </c>
      <c r="O330" s="1" t="s">
        <v>2276</v>
      </c>
    </row>
    <row r="331" spans="1:15" x14ac:dyDescent="0.25">
      <c r="A331">
        <v>1351</v>
      </c>
      <c r="B331" s="1" t="s">
        <v>354</v>
      </c>
      <c r="C331" s="1" t="str">
        <f t="shared" si="5"/>
        <v>Quebec</v>
      </c>
      <c r="D331" s="1" t="s">
        <v>28</v>
      </c>
      <c r="E331" s="5">
        <v>56</v>
      </c>
      <c r="F331" s="1" t="s">
        <v>802</v>
      </c>
      <c r="G331" s="1" t="s">
        <v>32</v>
      </c>
      <c r="H331" t="s">
        <v>2270</v>
      </c>
      <c r="I331" s="1" t="s">
        <v>43</v>
      </c>
      <c r="J331" s="1" t="s">
        <v>25</v>
      </c>
      <c r="K331" s="1" t="s">
        <v>31</v>
      </c>
      <c r="L331" s="1" t="s">
        <v>45</v>
      </c>
      <c r="M331" s="1" t="s">
        <v>803</v>
      </c>
      <c r="N331" s="1" t="s">
        <v>22</v>
      </c>
      <c r="O331" s="1" t="s">
        <v>2276</v>
      </c>
    </row>
    <row r="332" spans="1:15" x14ac:dyDescent="0.25">
      <c r="A332">
        <v>1352</v>
      </c>
      <c r="B332" s="1" t="s">
        <v>354</v>
      </c>
      <c r="C332" s="1" t="str">
        <f t="shared" si="5"/>
        <v>Quebec</v>
      </c>
      <c r="D332" s="1" t="s">
        <v>28</v>
      </c>
      <c r="E332" s="5">
        <v>56</v>
      </c>
      <c r="F332" s="1" t="s">
        <v>802</v>
      </c>
      <c r="G332" s="1" t="s">
        <v>543</v>
      </c>
      <c r="H332" t="s">
        <v>2270</v>
      </c>
      <c r="I332" s="1" t="s">
        <v>43</v>
      </c>
      <c r="J332" s="1" t="s">
        <v>25</v>
      </c>
      <c r="K332" s="1" t="s">
        <v>31</v>
      </c>
      <c r="L332" s="1" t="s">
        <v>45</v>
      </c>
      <c r="M332" s="1" t="s">
        <v>804</v>
      </c>
      <c r="N332" s="1" t="s">
        <v>22</v>
      </c>
      <c r="O332" s="1" t="s">
        <v>2276</v>
      </c>
    </row>
    <row r="333" spans="1:15" x14ac:dyDescent="0.25">
      <c r="A333">
        <v>1353</v>
      </c>
      <c r="B333" s="1" t="s">
        <v>354</v>
      </c>
      <c r="C333" s="1" t="str">
        <f t="shared" si="5"/>
        <v>Quebec</v>
      </c>
      <c r="D333" s="1" t="s">
        <v>28</v>
      </c>
      <c r="E333" s="5">
        <v>56</v>
      </c>
      <c r="F333" s="1" t="s">
        <v>802</v>
      </c>
      <c r="G333" s="1" t="s">
        <v>543</v>
      </c>
      <c r="H333" t="s">
        <v>2270</v>
      </c>
      <c r="I333" s="1" t="s">
        <v>43</v>
      </c>
      <c r="J333" s="1" t="s">
        <v>25</v>
      </c>
      <c r="K333" s="1" t="s">
        <v>31</v>
      </c>
      <c r="L333" s="1" t="s">
        <v>45</v>
      </c>
      <c r="M333" s="1" t="s">
        <v>805</v>
      </c>
      <c r="N333" s="1" t="s">
        <v>22</v>
      </c>
      <c r="O333" s="1" t="s">
        <v>2276</v>
      </c>
    </row>
    <row r="334" spans="1:15" x14ac:dyDescent="0.25">
      <c r="A334">
        <v>1354</v>
      </c>
      <c r="B334" s="1" t="s">
        <v>354</v>
      </c>
      <c r="C334" s="1" t="str">
        <f t="shared" si="5"/>
        <v>Quebec</v>
      </c>
      <c r="D334" s="1" t="s">
        <v>28</v>
      </c>
      <c r="E334" s="5">
        <v>56</v>
      </c>
      <c r="F334" s="1" t="s">
        <v>806</v>
      </c>
      <c r="G334" s="1" t="s">
        <v>807</v>
      </c>
      <c r="H334" t="s">
        <v>2270</v>
      </c>
      <c r="I334" s="1" t="s">
        <v>43</v>
      </c>
      <c r="J334" s="1" t="s">
        <v>232</v>
      </c>
      <c r="K334" s="1" t="s">
        <v>31</v>
      </c>
      <c r="L334" s="1" t="s">
        <v>45</v>
      </c>
      <c r="M334" s="1" t="s">
        <v>808</v>
      </c>
      <c r="N334" s="1" t="s">
        <v>22</v>
      </c>
      <c r="O334" s="1" t="s">
        <v>2276</v>
      </c>
    </row>
    <row r="335" spans="1:15" x14ac:dyDescent="0.25">
      <c r="A335">
        <v>1355</v>
      </c>
      <c r="B335" s="1" t="s">
        <v>354</v>
      </c>
      <c r="C335" s="1" t="str">
        <f t="shared" si="5"/>
        <v>Quebec</v>
      </c>
      <c r="D335" s="1" t="s">
        <v>28</v>
      </c>
      <c r="E335" s="5">
        <v>50</v>
      </c>
      <c r="F335" s="1" t="s">
        <v>809</v>
      </c>
      <c r="G335" s="1" t="s">
        <v>32</v>
      </c>
      <c r="H335" t="s">
        <v>2270</v>
      </c>
      <c r="I335" s="1" t="s">
        <v>43</v>
      </c>
      <c r="J335" s="1" t="s">
        <v>25</v>
      </c>
      <c r="K335" s="1" t="s">
        <v>31</v>
      </c>
      <c r="L335" s="1" t="s">
        <v>45</v>
      </c>
      <c r="M335" s="1" t="s">
        <v>810</v>
      </c>
      <c r="N335" s="1" t="s">
        <v>22</v>
      </c>
      <c r="O335" s="1" t="s">
        <v>2276</v>
      </c>
    </row>
    <row r="336" spans="1:15" x14ac:dyDescent="0.25">
      <c r="A336">
        <v>1356</v>
      </c>
      <c r="B336" s="1" t="s">
        <v>354</v>
      </c>
      <c r="C336" s="1" t="str">
        <f t="shared" si="5"/>
        <v>Quebec</v>
      </c>
      <c r="D336" s="1" t="s">
        <v>28</v>
      </c>
      <c r="E336" s="5">
        <v>56</v>
      </c>
      <c r="F336" s="1" t="s">
        <v>802</v>
      </c>
      <c r="G336" s="1" t="s">
        <v>543</v>
      </c>
      <c r="H336" t="s">
        <v>2270</v>
      </c>
      <c r="I336" s="1" t="s">
        <v>43</v>
      </c>
      <c r="J336" s="1" t="s">
        <v>25</v>
      </c>
      <c r="K336" s="1" t="s">
        <v>31</v>
      </c>
      <c r="L336" s="1" t="s">
        <v>45</v>
      </c>
      <c r="M336" s="1" t="s">
        <v>811</v>
      </c>
      <c r="N336" s="1" t="s">
        <v>22</v>
      </c>
      <c r="O336" s="1" t="s">
        <v>2276</v>
      </c>
    </row>
    <row r="337" spans="1:15" x14ac:dyDescent="0.25">
      <c r="A337">
        <v>1357</v>
      </c>
      <c r="B337" s="1" t="s">
        <v>354</v>
      </c>
      <c r="C337" s="1" t="str">
        <f t="shared" si="5"/>
        <v>Quebec</v>
      </c>
      <c r="D337" s="1" t="s">
        <v>28</v>
      </c>
      <c r="E337" s="5">
        <v>50</v>
      </c>
      <c r="F337" s="1" t="s">
        <v>812</v>
      </c>
      <c r="G337" s="1" t="s">
        <v>768</v>
      </c>
      <c r="H337" t="s">
        <v>2270</v>
      </c>
      <c r="I337" s="1" t="s">
        <v>43</v>
      </c>
      <c r="J337" s="1" t="s">
        <v>25</v>
      </c>
      <c r="K337" s="1" t="s">
        <v>31</v>
      </c>
      <c r="L337" s="1" t="s">
        <v>45</v>
      </c>
      <c r="M337" s="1" t="s">
        <v>813</v>
      </c>
      <c r="N337" s="1" t="s">
        <v>22</v>
      </c>
      <c r="O337" s="1" t="s">
        <v>2276</v>
      </c>
    </row>
    <row r="338" spans="1:15" x14ac:dyDescent="0.25">
      <c r="A338">
        <v>1358</v>
      </c>
      <c r="B338" s="1" t="s">
        <v>354</v>
      </c>
      <c r="C338" s="1" t="str">
        <f t="shared" si="5"/>
        <v>Quebec</v>
      </c>
      <c r="D338" s="1" t="s">
        <v>28</v>
      </c>
      <c r="E338" s="5">
        <v>50</v>
      </c>
      <c r="F338" s="1" t="s">
        <v>814</v>
      </c>
      <c r="G338" s="1" t="s">
        <v>32</v>
      </c>
      <c r="H338" t="s">
        <v>2270</v>
      </c>
      <c r="I338" s="1" t="s">
        <v>43</v>
      </c>
      <c r="J338" s="1" t="s">
        <v>25</v>
      </c>
      <c r="K338" s="1" t="s">
        <v>31</v>
      </c>
      <c r="L338" s="1" t="s">
        <v>20</v>
      </c>
      <c r="M338" s="1" t="s">
        <v>815</v>
      </c>
      <c r="N338" s="1" t="s">
        <v>22</v>
      </c>
      <c r="O338" s="1" t="s">
        <v>2276</v>
      </c>
    </row>
    <row r="339" spans="1:15" x14ac:dyDescent="0.25">
      <c r="A339">
        <v>1360</v>
      </c>
      <c r="B339" s="1" t="s">
        <v>354</v>
      </c>
      <c r="C339" s="1" t="str">
        <f t="shared" si="5"/>
        <v>Quebec</v>
      </c>
      <c r="D339" s="1" t="s">
        <v>28</v>
      </c>
      <c r="E339" s="5">
        <v>56</v>
      </c>
      <c r="F339" s="1" t="s">
        <v>802</v>
      </c>
      <c r="G339" s="1" t="s">
        <v>543</v>
      </c>
      <c r="H339" t="s">
        <v>2270</v>
      </c>
      <c r="I339" s="1" t="s">
        <v>43</v>
      </c>
      <c r="J339" s="1" t="s">
        <v>25</v>
      </c>
      <c r="K339" s="1" t="s">
        <v>31</v>
      </c>
      <c r="L339" s="1" t="s">
        <v>45</v>
      </c>
      <c r="M339" s="1" t="s">
        <v>816</v>
      </c>
      <c r="N339" s="1" t="s">
        <v>22</v>
      </c>
      <c r="O339" s="1" t="s">
        <v>2276</v>
      </c>
    </row>
    <row r="340" spans="1:15" x14ac:dyDescent="0.25">
      <c r="A340">
        <v>1362</v>
      </c>
      <c r="B340" s="1" t="s">
        <v>354</v>
      </c>
      <c r="C340" s="1" t="str">
        <f t="shared" si="5"/>
        <v>Quebec</v>
      </c>
      <c r="D340" s="1" t="s">
        <v>28</v>
      </c>
      <c r="E340" s="5">
        <v>37</v>
      </c>
      <c r="F340" s="1" t="s">
        <v>817</v>
      </c>
      <c r="G340" s="1" t="s">
        <v>818</v>
      </c>
      <c r="H340" t="s">
        <v>2270</v>
      </c>
      <c r="I340" s="1" t="s">
        <v>17</v>
      </c>
      <c r="J340" s="1" t="s">
        <v>25</v>
      </c>
      <c r="K340" s="1" t="s">
        <v>31</v>
      </c>
      <c r="L340" s="1" t="s">
        <v>32</v>
      </c>
      <c r="M340" s="1" t="s">
        <v>819</v>
      </c>
      <c r="N340" s="1" t="s">
        <v>60</v>
      </c>
      <c r="O340" s="1" t="s">
        <v>2276</v>
      </c>
    </row>
    <row r="341" spans="1:15" x14ac:dyDescent="0.25">
      <c r="A341">
        <v>1363</v>
      </c>
      <c r="B341" s="1" t="s">
        <v>354</v>
      </c>
      <c r="C341" s="1" t="str">
        <f t="shared" si="5"/>
        <v>Quebec</v>
      </c>
      <c r="D341" s="1" t="s">
        <v>28</v>
      </c>
      <c r="E341" s="5">
        <v>50</v>
      </c>
      <c r="F341" s="1" t="s">
        <v>820</v>
      </c>
      <c r="G341" s="1" t="s">
        <v>821</v>
      </c>
      <c r="H341" t="s">
        <v>2270</v>
      </c>
      <c r="I341" s="1" t="s">
        <v>24</v>
      </c>
      <c r="J341" s="1" t="s">
        <v>25</v>
      </c>
      <c r="K341" s="1" t="s">
        <v>31</v>
      </c>
      <c r="L341" s="1" t="s">
        <v>20</v>
      </c>
      <c r="M341" s="1" t="s">
        <v>822</v>
      </c>
      <c r="N341" s="1" t="s">
        <v>22</v>
      </c>
      <c r="O341" s="1" t="s">
        <v>2276</v>
      </c>
    </row>
    <row r="342" spans="1:15" x14ac:dyDescent="0.25">
      <c r="A342">
        <v>1364</v>
      </c>
      <c r="B342" s="1" t="s">
        <v>354</v>
      </c>
      <c r="C342" s="1" t="str">
        <f t="shared" si="5"/>
        <v>Quebec</v>
      </c>
      <c r="D342" s="1" t="s">
        <v>28</v>
      </c>
      <c r="E342" s="5">
        <v>54</v>
      </c>
      <c r="F342" s="1" t="s">
        <v>823</v>
      </c>
      <c r="G342" s="1" t="s">
        <v>543</v>
      </c>
      <c r="H342" t="s">
        <v>2270</v>
      </c>
      <c r="I342" s="1" t="s">
        <v>43</v>
      </c>
      <c r="J342" s="1" t="s">
        <v>25</v>
      </c>
      <c r="K342" s="1" t="s">
        <v>31</v>
      </c>
      <c r="L342" s="1" t="s">
        <v>45</v>
      </c>
      <c r="M342" s="1" t="s">
        <v>824</v>
      </c>
      <c r="N342" s="1" t="s">
        <v>22</v>
      </c>
      <c r="O342" s="1" t="s">
        <v>2276</v>
      </c>
    </row>
    <row r="343" spans="1:15" x14ac:dyDescent="0.25">
      <c r="A343">
        <v>1365</v>
      </c>
      <c r="B343" s="1" t="s">
        <v>354</v>
      </c>
      <c r="C343" s="1" t="str">
        <f t="shared" si="5"/>
        <v>Quebec</v>
      </c>
      <c r="D343" s="1" t="s">
        <v>28</v>
      </c>
      <c r="E343" s="5">
        <v>54</v>
      </c>
      <c r="F343" s="1" t="s">
        <v>825</v>
      </c>
      <c r="G343" s="1" t="s">
        <v>32</v>
      </c>
      <c r="H343" t="s">
        <v>2270</v>
      </c>
      <c r="I343" s="1" t="s">
        <v>43</v>
      </c>
      <c r="J343" s="1" t="s">
        <v>25</v>
      </c>
      <c r="K343" s="1" t="s">
        <v>31</v>
      </c>
      <c r="L343" s="1" t="s">
        <v>45</v>
      </c>
      <c r="M343" s="1" t="s">
        <v>826</v>
      </c>
      <c r="N343" s="1" t="s">
        <v>22</v>
      </c>
      <c r="O343" s="1" t="s">
        <v>2276</v>
      </c>
    </row>
    <row r="344" spans="1:15" x14ac:dyDescent="0.25">
      <c r="A344">
        <v>1366</v>
      </c>
      <c r="B344" s="1" t="s">
        <v>354</v>
      </c>
      <c r="C344" s="1" t="str">
        <f t="shared" si="5"/>
        <v>Quebec</v>
      </c>
      <c r="D344" s="1" t="s">
        <v>28</v>
      </c>
      <c r="E344" s="5">
        <v>45</v>
      </c>
      <c r="F344" s="1" t="s">
        <v>827</v>
      </c>
      <c r="G344" s="1" t="s">
        <v>32</v>
      </c>
      <c r="H344" t="s">
        <v>2270</v>
      </c>
      <c r="I344" s="1" t="s">
        <v>43</v>
      </c>
      <c r="J344" s="1" t="s">
        <v>25</v>
      </c>
      <c r="K344" s="1" t="s">
        <v>31</v>
      </c>
      <c r="L344" s="1" t="s">
        <v>45</v>
      </c>
      <c r="M344" s="1" t="s">
        <v>828</v>
      </c>
      <c r="N344" s="1" t="s">
        <v>60</v>
      </c>
      <c r="O344" s="1" t="s">
        <v>2276</v>
      </c>
    </row>
    <row r="345" spans="1:15" x14ac:dyDescent="0.25">
      <c r="A345">
        <v>1367</v>
      </c>
      <c r="B345" s="1" t="s">
        <v>354</v>
      </c>
      <c r="C345" s="1" t="str">
        <f t="shared" si="5"/>
        <v>Quebec</v>
      </c>
      <c r="D345" s="1" t="s">
        <v>28</v>
      </c>
      <c r="E345" s="5">
        <v>54</v>
      </c>
      <c r="F345" s="1" t="s">
        <v>829</v>
      </c>
      <c r="G345" s="1" t="s">
        <v>768</v>
      </c>
      <c r="H345" t="s">
        <v>2270</v>
      </c>
      <c r="I345" s="1" t="s">
        <v>43</v>
      </c>
      <c r="J345" s="1" t="s">
        <v>25</v>
      </c>
      <c r="K345" s="1" t="s">
        <v>31</v>
      </c>
      <c r="L345" s="1" t="s">
        <v>45</v>
      </c>
      <c r="M345" s="1" t="s">
        <v>830</v>
      </c>
      <c r="N345" s="1" t="s">
        <v>22</v>
      </c>
      <c r="O345" s="1" t="s">
        <v>2276</v>
      </c>
    </row>
    <row r="346" spans="1:15" x14ac:dyDescent="0.25">
      <c r="A346">
        <v>1368</v>
      </c>
      <c r="B346" s="1" t="s">
        <v>354</v>
      </c>
      <c r="C346" s="1" t="str">
        <f t="shared" si="5"/>
        <v>Quebec</v>
      </c>
      <c r="D346" s="1" t="s">
        <v>28</v>
      </c>
      <c r="E346" s="5">
        <v>56</v>
      </c>
      <c r="F346" s="1" t="s">
        <v>802</v>
      </c>
      <c r="G346" s="1" t="s">
        <v>32</v>
      </c>
      <c r="H346" t="s">
        <v>2270</v>
      </c>
      <c r="I346" s="1" t="s">
        <v>43</v>
      </c>
      <c r="J346" s="1" t="s">
        <v>25</v>
      </c>
      <c r="K346" s="1" t="s">
        <v>31</v>
      </c>
      <c r="L346" s="1" t="s">
        <v>45</v>
      </c>
      <c r="M346" s="1" t="s">
        <v>831</v>
      </c>
      <c r="N346" s="1" t="s">
        <v>22</v>
      </c>
      <c r="O346" s="1" t="s">
        <v>2276</v>
      </c>
    </row>
    <row r="347" spans="1:15" x14ac:dyDescent="0.25">
      <c r="A347">
        <v>1369</v>
      </c>
      <c r="B347" s="1" t="s">
        <v>354</v>
      </c>
      <c r="C347" s="1" t="str">
        <f t="shared" si="5"/>
        <v>Quebec</v>
      </c>
      <c r="D347" s="1" t="s">
        <v>28</v>
      </c>
      <c r="E347" s="5">
        <v>52</v>
      </c>
      <c r="F347" s="1" t="s">
        <v>832</v>
      </c>
      <c r="G347" s="1" t="s">
        <v>32</v>
      </c>
      <c r="H347" t="s">
        <v>2270</v>
      </c>
      <c r="I347" s="1" t="s">
        <v>43</v>
      </c>
      <c r="J347" s="1" t="s">
        <v>25</v>
      </c>
      <c r="K347" s="1" t="s">
        <v>31</v>
      </c>
      <c r="L347" s="1" t="s">
        <v>45</v>
      </c>
      <c r="M347" s="1" t="s">
        <v>833</v>
      </c>
      <c r="N347" s="1" t="s">
        <v>22</v>
      </c>
      <c r="O347" s="1" t="s">
        <v>2276</v>
      </c>
    </row>
    <row r="348" spans="1:15" x14ac:dyDescent="0.25">
      <c r="A348">
        <v>1370</v>
      </c>
      <c r="B348" s="1" t="s">
        <v>354</v>
      </c>
      <c r="C348" s="1" t="str">
        <f t="shared" si="5"/>
        <v>Quebec</v>
      </c>
      <c r="D348" s="1" t="s">
        <v>28</v>
      </c>
      <c r="E348" s="5">
        <v>50</v>
      </c>
      <c r="F348" s="1" t="s">
        <v>834</v>
      </c>
      <c r="G348" s="1" t="s">
        <v>32</v>
      </c>
      <c r="H348" t="s">
        <v>2270</v>
      </c>
      <c r="I348" s="1" t="s">
        <v>43</v>
      </c>
      <c r="J348" s="1" t="s">
        <v>25</v>
      </c>
      <c r="K348" s="1" t="s">
        <v>31</v>
      </c>
      <c r="L348" s="1" t="s">
        <v>45</v>
      </c>
      <c r="M348" s="1" t="s">
        <v>835</v>
      </c>
      <c r="N348" s="1" t="s">
        <v>60</v>
      </c>
      <c r="O348" s="1" t="s">
        <v>2276</v>
      </c>
    </row>
    <row r="349" spans="1:15" x14ac:dyDescent="0.25">
      <c r="A349">
        <v>1371</v>
      </c>
      <c r="B349" s="1" t="s">
        <v>354</v>
      </c>
      <c r="C349" s="1" t="str">
        <f t="shared" si="5"/>
        <v>Quebec</v>
      </c>
      <c r="D349" s="1" t="s">
        <v>28</v>
      </c>
      <c r="E349" s="5">
        <v>45</v>
      </c>
      <c r="F349" s="1" t="s">
        <v>772</v>
      </c>
      <c r="G349" s="1" t="s">
        <v>32</v>
      </c>
      <c r="H349" t="s">
        <v>2270</v>
      </c>
      <c r="I349" s="1" t="s">
        <v>24</v>
      </c>
      <c r="J349" s="1" t="s">
        <v>25</v>
      </c>
      <c r="K349" s="1" t="s">
        <v>31</v>
      </c>
      <c r="L349" s="1" t="s">
        <v>91</v>
      </c>
      <c r="M349" s="1" t="s">
        <v>836</v>
      </c>
      <c r="N349" s="1" t="s">
        <v>60</v>
      </c>
      <c r="O349" s="1" t="s">
        <v>2276</v>
      </c>
    </row>
    <row r="350" spans="1:15" x14ac:dyDescent="0.25">
      <c r="A350">
        <v>1372</v>
      </c>
      <c r="B350" s="1" t="s">
        <v>354</v>
      </c>
      <c r="C350" s="1" t="str">
        <f t="shared" si="5"/>
        <v>Quebec</v>
      </c>
      <c r="D350" s="1" t="s">
        <v>28</v>
      </c>
      <c r="E350" s="5">
        <v>52</v>
      </c>
      <c r="F350" s="1" t="s">
        <v>47</v>
      </c>
      <c r="G350" s="1" t="s">
        <v>32</v>
      </c>
      <c r="H350" t="s">
        <v>2270</v>
      </c>
      <c r="I350" s="1" t="s">
        <v>24</v>
      </c>
      <c r="J350" s="1" t="s">
        <v>25</v>
      </c>
      <c r="K350" s="1" t="s">
        <v>31</v>
      </c>
      <c r="L350" s="1" t="s">
        <v>91</v>
      </c>
      <c r="M350" s="1" t="s">
        <v>837</v>
      </c>
      <c r="N350" s="1" t="s">
        <v>22</v>
      </c>
      <c r="O350" s="1" t="s">
        <v>2276</v>
      </c>
    </row>
    <row r="351" spans="1:15" x14ac:dyDescent="0.25">
      <c r="A351">
        <v>1373</v>
      </c>
      <c r="B351" s="1" t="s">
        <v>354</v>
      </c>
      <c r="C351" s="1" t="str">
        <f t="shared" si="5"/>
        <v>Quebec</v>
      </c>
      <c r="D351" s="1" t="s">
        <v>28</v>
      </c>
      <c r="E351" s="5">
        <v>40</v>
      </c>
      <c r="F351" s="1" t="s">
        <v>47</v>
      </c>
      <c r="G351" s="1" t="s">
        <v>32</v>
      </c>
      <c r="H351" t="s">
        <v>2270</v>
      </c>
      <c r="I351" s="1" t="s">
        <v>17</v>
      </c>
      <c r="J351" s="1" t="s">
        <v>25</v>
      </c>
      <c r="K351" s="1" t="s">
        <v>31</v>
      </c>
      <c r="L351" s="1" t="s">
        <v>91</v>
      </c>
      <c r="M351" s="1" t="s">
        <v>838</v>
      </c>
      <c r="N351" s="1" t="s">
        <v>22</v>
      </c>
      <c r="O351" s="1" t="s">
        <v>2276</v>
      </c>
    </row>
    <row r="352" spans="1:15" x14ac:dyDescent="0.25">
      <c r="A352">
        <v>1374</v>
      </c>
      <c r="B352" s="1" t="s">
        <v>354</v>
      </c>
      <c r="C352" s="1" t="str">
        <f t="shared" si="5"/>
        <v>Quebec</v>
      </c>
      <c r="D352" s="1" t="s">
        <v>28</v>
      </c>
      <c r="E352" s="5">
        <v>49</v>
      </c>
      <c r="F352" s="1" t="s">
        <v>47</v>
      </c>
      <c r="G352" s="1" t="s">
        <v>32</v>
      </c>
      <c r="H352" t="s">
        <v>2270</v>
      </c>
      <c r="I352" s="1" t="s">
        <v>17</v>
      </c>
      <c r="J352" s="1" t="s">
        <v>25</v>
      </c>
      <c r="K352" s="1" t="s">
        <v>31</v>
      </c>
      <c r="L352" s="1" t="s">
        <v>91</v>
      </c>
      <c r="M352" s="1" t="s">
        <v>839</v>
      </c>
      <c r="N352" s="1" t="s">
        <v>22</v>
      </c>
      <c r="O352" s="1" t="s">
        <v>2276</v>
      </c>
    </row>
    <row r="353" spans="1:15" x14ac:dyDescent="0.25">
      <c r="A353">
        <v>1375</v>
      </c>
      <c r="B353" s="1" t="s">
        <v>354</v>
      </c>
      <c r="C353" s="1" t="str">
        <f t="shared" si="5"/>
        <v>Quebec</v>
      </c>
      <c r="D353" s="1" t="s">
        <v>28</v>
      </c>
      <c r="E353" s="5">
        <v>42</v>
      </c>
      <c r="F353" s="1" t="s">
        <v>840</v>
      </c>
      <c r="G353" s="1" t="s">
        <v>32</v>
      </c>
      <c r="H353" t="s">
        <v>2270</v>
      </c>
      <c r="I353" s="1" t="s">
        <v>17</v>
      </c>
      <c r="J353" s="1" t="s">
        <v>25</v>
      </c>
      <c r="K353" s="1" t="s">
        <v>31</v>
      </c>
      <c r="L353" s="1" t="s">
        <v>20</v>
      </c>
      <c r="M353" s="1" t="s">
        <v>841</v>
      </c>
      <c r="N353" s="1" t="s">
        <v>22</v>
      </c>
      <c r="O353" s="1" t="s">
        <v>2276</v>
      </c>
    </row>
    <row r="354" spans="1:15" x14ac:dyDescent="0.25">
      <c r="A354">
        <v>1376</v>
      </c>
      <c r="B354" s="1" t="s">
        <v>354</v>
      </c>
      <c r="C354" s="1" t="str">
        <f t="shared" si="5"/>
        <v>Quebec</v>
      </c>
      <c r="D354" s="1" t="s">
        <v>28</v>
      </c>
      <c r="E354" s="5">
        <v>47</v>
      </c>
      <c r="F354" s="1" t="s">
        <v>842</v>
      </c>
      <c r="G354" s="1" t="s">
        <v>843</v>
      </c>
      <c r="H354" t="s">
        <v>2270</v>
      </c>
      <c r="I354" s="1" t="s">
        <v>24</v>
      </c>
      <c r="J354" s="1" t="s">
        <v>25</v>
      </c>
      <c r="K354" s="1" t="s">
        <v>31</v>
      </c>
      <c r="L354" s="1" t="s">
        <v>20</v>
      </c>
      <c r="M354" s="1" t="s">
        <v>844</v>
      </c>
      <c r="N354" s="1" t="s">
        <v>22</v>
      </c>
      <c r="O354" s="1" t="s">
        <v>2276</v>
      </c>
    </row>
    <row r="355" spans="1:15" x14ac:dyDescent="0.25">
      <c r="A355">
        <v>1377</v>
      </c>
      <c r="B355" s="1" t="s">
        <v>354</v>
      </c>
      <c r="C355" s="1" t="str">
        <f t="shared" si="5"/>
        <v>Quebec</v>
      </c>
      <c r="D355" s="1" t="s">
        <v>28</v>
      </c>
      <c r="E355" s="5">
        <v>45</v>
      </c>
      <c r="F355" s="1" t="s">
        <v>845</v>
      </c>
      <c r="G355" s="1" t="s">
        <v>846</v>
      </c>
      <c r="H355" t="s">
        <v>2270</v>
      </c>
      <c r="I355" s="1" t="s">
        <v>24</v>
      </c>
      <c r="J355" s="1" t="s">
        <v>25</v>
      </c>
      <c r="K355" s="1" t="s">
        <v>107</v>
      </c>
      <c r="L355" s="1" t="s">
        <v>32</v>
      </c>
      <c r="M355" s="1" t="s">
        <v>847</v>
      </c>
      <c r="N355" s="1" t="s">
        <v>60</v>
      </c>
      <c r="O355" s="1" t="s">
        <v>2276</v>
      </c>
    </row>
    <row r="356" spans="1:15" x14ac:dyDescent="0.25">
      <c r="A356">
        <v>1378</v>
      </c>
      <c r="B356" s="1" t="s">
        <v>354</v>
      </c>
      <c r="C356" s="1" t="str">
        <f t="shared" si="5"/>
        <v>Quebec</v>
      </c>
      <c r="D356" s="1" t="s">
        <v>28</v>
      </c>
      <c r="E356" s="5">
        <v>50</v>
      </c>
      <c r="F356" s="1" t="s">
        <v>848</v>
      </c>
      <c r="G356" s="1" t="s">
        <v>32</v>
      </c>
      <c r="H356" t="s">
        <v>2270</v>
      </c>
      <c r="I356" s="1" t="s">
        <v>24</v>
      </c>
      <c r="J356" s="1" t="s">
        <v>25</v>
      </c>
      <c r="K356" s="1" t="s">
        <v>31</v>
      </c>
      <c r="L356" s="1" t="s">
        <v>20</v>
      </c>
      <c r="M356" s="1" t="s">
        <v>849</v>
      </c>
      <c r="N356" s="1" t="s">
        <v>22</v>
      </c>
      <c r="O356" s="1" t="s">
        <v>2276</v>
      </c>
    </row>
    <row r="357" spans="1:15" x14ac:dyDescent="0.25">
      <c r="A357">
        <v>1379</v>
      </c>
      <c r="B357" s="1" t="s">
        <v>354</v>
      </c>
      <c r="C357" s="1" t="str">
        <f t="shared" si="5"/>
        <v>Quebec</v>
      </c>
      <c r="D357" s="1" t="s">
        <v>28</v>
      </c>
      <c r="E357" s="5">
        <v>42</v>
      </c>
      <c r="F357" s="1" t="s">
        <v>850</v>
      </c>
      <c r="G357" s="1" t="s">
        <v>32</v>
      </c>
      <c r="H357" t="s">
        <v>2270</v>
      </c>
      <c r="I357" s="1" t="s">
        <v>17</v>
      </c>
      <c r="J357" s="1" t="s">
        <v>25</v>
      </c>
      <c r="K357" s="1" t="s">
        <v>31</v>
      </c>
      <c r="L357" s="1" t="s">
        <v>32</v>
      </c>
      <c r="M357" s="1" t="s">
        <v>851</v>
      </c>
      <c r="N357" s="1" t="s">
        <v>60</v>
      </c>
      <c r="O357" s="1" t="s">
        <v>2276</v>
      </c>
    </row>
    <row r="358" spans="1:15" x14ac:dyDescent="0.25">
      <c r="A358">
        <v>1380</v>
      </c>
      <c r="B358" s="1" t="s">
        <v>354</v>
      </c>
      <c r="C358" s="1" t="str">
        <f t="shared" si="5"/>
        <v>Quebec</v>
      </c>
      <c r="D358" s="1" t="s">
        <v>28</v>
      </c>
      <c r="E358" s="5">
        <v>42</v>
      </c>
      <c r="F358" s="1" t="s">
        <v>32</v>
      </c>
      <c r="G358" s="1" t="s">
        <v>32</v>
      </c>
      <c r="H358" t="s">
        <v>2270</v>
      </c>
      <c r="I358" s="1" t="s">
        <v>17</v>
      </c>
      <c r="J358" s="1" t="s">
        <v>25</v>
      </c>
      <c r="K358" s="1" t="s">
        <v>31</v>
      </c>
      <c r="L358" s="1" t="s">
        <v>32</v>
      </c>
      <c r="M358" s="1" t="s">
        <v>852</v>
      </c>
      <c r="N358" s="1" t="s">
        <v>22</v>
      </c>
      <c r="O358" s="1" t="s">
        <v>2276</v>
      </c>
    </row>
    <row r="359" spans="1:15" x14ac:dyDescent="0.25">
      <c r="A359">
        <v>1381</v>
      </c>
      <c r="B359" s="1" t="s">
        <v>354</v>
      </c>
      <c r="C359" s="1" t="str">
        <f t="shared" si="5"/>
        <v>Quebec</v>
      </c>
      <c r="D359" s="1" t="s">
        <v>28</v>
      </c>
      <c r="E359" s="5">
        <v>42</v>
      </c>
      <c r="F359" s="1" t="s">
        <v>853</v>
      </c>
      <c r="G359" s="1" t="s">
        <v>854</v>
      </c>
      <c r="H359" t="s">
        <v>2270</v>
      </c>
      <c r="I359" s="1" t="s">
        <v>17</v>
      </c>
      <c r="J359" s="1" t="s">
        <v>25</v>
      </c>
      <c r="K359" s="1" t="s">
        <v>31</v>
      </c>
      <c r="L359" s="1" t="s">
        <v>32</v>
      </c>
      <c r="M359" s="1" t="s">
        <v>855</v>
      </c>
      <c r="N359" s="1" t="s">
        <v>22</v>
      </c>
      <c r="O359" s="1" t="s">
        <v>2276</v>
      </c>
    </row>
    <row r="360" spans="1:15" x14ac:dyDescent="0.25">
      <c r="A360">
        <v>1382</v>
      </c>
      <c r="B360" s="1" t="s">
        <v>354</v>
      </c>
      <c r="C360" s="1" t="str">
        <f t="shared" si="5"/>
        <v>Quebec</v>
      </c>
      <c r="D360" s="1" t="s">
        <v>28</v>
      </c>
      <c r="E360" s="5">
        <v>43</v>
      </c>
      <c r="F360" s="1" t="s">
        <v>856</v>
      </c>
      <c r="G360" s="1" t="s">
        <v>32</v>
      </c>
      <c r="H360" t="s">
        <v>2270</v>
      </c>
      <c r="I360" s="1" t="s">
        <v>17</v>
      </c>
      <c r="J360" s="1" t="s">
        <v>25</v>
      </c>
      <c r="K360" s="1" t="s">
        <v>31</v>
      </c>
      <c r="L360" s="1" t="s">
        <v>91</v>
      </c>
      <c r="M360" s="1" t="s">
        <v>857</v>
      </c>
      <c r="N360" s="1" t="s">
        <v>22</v>
      </c>
      <c r="O360" s="1" t="s">
        <v>2276</v>
      </c>
    </row>
    <row r="361" spans="1:15" x14ac:dyDescent="0.25">
      <c r="A361">
        <v>1383</v>
      </c>
      <c r="B361" s="1" t="s">
        <v>354</v>
      </c>
      <c r="C361" s="1" t="str">
        <f t="shared" si="5"/>
        <v>Quebec</v>
      </c>
      <c r="D361" s="1" t="s">
        <v>28</v>
      </c>
      <c r="E361" s="5">
        <v>43</v>
      </c>
      <c r="F361" s="1" t="s">
        <v>858</v>
      </c>
      <c r="G361" s="1" t="s">
        <v>859</v>
      </c>
      <c r="H361" t="s">
        <v>2270</v>
      </c>
      <c r="I361" s="1" t="s">
        <v>17</v>
      </c>
      <c r="J361" s="1" t="s">
        <v>25</v>
      </c>
      <c r="K361" s="1" t="s">
        <v>31</v>
      </c>
      <c r="L361" s="1" t="s">
        <v>32</v>
      </c>
      <c r="M361" s="1" t="s">
        <v>860</v>
      </c>
      <c r="N361" s="1" t="s">
        <v>22</v>
      </c>
      <c r="O361" s="1" t="s">
        <v>2276</v>
      </c>
    </row>
    <row r="362" spans="1:15" x14ac:dyDescent="0.25">
      <c r="A362">
        <v>1384</v>
      </c>
      <c r="B362" s="1" t="s">
        <v>354</v>
      </c>
      <c r="C362" s="1" t="str">
        <f t="shared" si="5"/>
        <v>Quebec</v>
      </c>
      <c r="D362" s="1" t="s">
        <v>28</v>
      </c>
      <c r="E362" s="5">
        <v>43</v>
      </c>
      <c r="F362" s="1" t="s">
        <v>47</v>
      </c>
      <c r="G362" s="1" t="s">
        <v>861</v>
      </c>
      <c r="H362" t="s">
        <v>2270</v>
      </c>
      <c r="I362" s="1" t="s">
        <v>17</v>
      </c>
      <c r="J362" s="1" t="s">
        <v>25</v>
      </c>
      <c r="K362" s="1" t="s">
        <v>31</v>
      </c>
      <c r="L362" s="1" t="s">
        <v>32</v>
      </c>
      <c r="M362" s="1" t="s">
        <v>862</v>
      </c>
      <c r="N362" s="1" t="s">
        <v>22</v>
      </c>
      <c r="O362" s="1" t="s">
        <v>2276</v>
      </c>
    </row>
    <row r="363" spans="1:15" x14ac:dyDescent="0.25">
      <c r="A363">
        <v>1385</v>
      </c>
      <c r="B363" s="1" t="s">
        <v>354</v>
      </c>
      <c r="C363" s="1" t="str">
        <f t="shared" si="5"/>
        <v>Quebec</v>
      </c>
      <c r="D363" s="1" t="s">
        <v>28</v>
      </c>
      <c r="E363" s="5">
        <v>43</v>
      </c>
      <c r="F363" s="1" t="s">
        <v>863</v>
      </c>
      <c r="G363" s="1" t="s">
        <v>864</v>
      </c>
      <c r="H363" t="s">
        <v>2270</v>
      </c>
      <c r="I363" s="1" t="s">
        <v>17</v>
      </c>
      <c r="J363" s="1" t="s">
        <v>25</v>
      </c>
      <c r="K363" s="1" t="s">
        <v>31</v>
      </c>
      <c r="L363" s="1" t="s">
        <v>32</v>
      </c>
      <c r="M363" s="1" t="s">
        <v>865</v>
      </c>
      <c r="N363" s="1" t="s">
        <v>22</v>
      </c>
      <c r="O363" s="1" t="s">
        <v>2276</v>
      </c>
    </row>
    <row r="364" spans="1:15" x14ac:dyDescent="0.25">
      <c r="A364">
        <v>1386</v>
      </c>
      <c r="B364" s="1" t="s">
        <v>354</v>
      </c>
      <c r="C364" s="1" t="str">
        <f t="shared" si="5"/>
        <v>Quebec</v>
      </c>
      <c r="D364" s="1" t="s">
        <v>28</v>
      </c>
      <c r="E364" s="5">
        <v>43</v>
      </c>
      <c r="F364" s="1" t="s">
        <v>866</v>
      </c>
      <c r="G364" s="1" t="s">
        <v>867</v>
      </c>
      <c r="H364" t="s">
        <v>2270</v>
      </c>
      <c r="I364" s="1" t="s">
        <v>17</v>
      </c>
      <c r="J364" s="1" t="s">
        <v>25</v>
      </c>
      <c r="K364" s="1" t="s">
        <v>31</v>
      </c>
      <c r="L364" s="1" t="s">
        <v>91</v>
      </c>
      <c r="M364" s="1" t="s">
        <v>868</v>
      </c>
      <c r="N364" s="1" t="s">
        <v>60</v>
      </c>
      <c r="O364" s="1" t="s">
        <v>2276</v>
      </c>
    </row>
    <row r="365" spans="1:15" x14ac:dyDescent="0.25">
      <c r="A365">
        <v>1387</v>
      </c>
      <c r="B365" s="1" t="s">
        <v>354</v>
      </c>
      <c r="C365" s="1" t="str">
        <f t="shared" si="5"/>
        <v>Quebec</v>
      </c>
      <c r="D365" s="1" t="s">
        <v>28</v>
      </c>
      <c r="E365" s="5">
        <v>51</v>
      </c>
      <c r="F365" s="1" t="s">
        <v>869</v>
      </c>
      <c r="G365" s="1" t="s">
        <v>870</v>
      </c>
      <c r="H365" t="s">
        <v>2270</v>
      </c>
      <c r="I365" s="1" t="s">
        <v>17</v>
      </c>
      <c r="J365" s="1" t="s">
        <v>25</v>
      </c>
      <c r="K365" s="1" t="s">
        <v>31</v>
      </c>
      <c r="L365" s="1" t="s">
        <v>32</v>
      </c>
      <c r="M365" s="1" t="s">
        <v>871</v>
      </c>
      <c r="N365" s="1" t="s">
        <v>22</v>
      </c>
      <c r="O365" s="1" t="s">
        <v>2276</v>
      </c>
    </row>
    <row r="366" spans="1:15" x14ac:dyDescent="0.25">
      <c r="A366">
        <v>1388</v>
      </c>
      <c r="B366" s="1" t="s">
        <v>354</v>
      </c>
      <c r="C366" s="1" t="str">
        <f t="shared" si="5"/>
        <v>Quebec</v>
      </c>
      <c r="D366" s="1" t="s">
        <v>28</v>
      </c>
      <c r="E366" s="5">
        <v>42</v>
      </c>
      <c r="F366" s="1" t="s">
        <v>32</v>
      </c>
      <c r="G366" s="1" t="s">
        <v>872</v>
      </c>
      <c r="H366" t="s">
        <v>2270</v>
      </c>
      <c r="I366" s="1" t="s">
        <v>17</v>
      </c>
      <c r="J366" s="1" t="s">
        <v>25</v>
      </c>
      <c r="K366" s="1" t="s">
        <v>31</v>
      </c>
      <c r="L366" s="1" t="s">
        <v>32</v>
      </c>
      <c r="M366" s="1" t="s">
        <v>873</v>
      </c>
      <c r="N366" s="1" t="s">
        <v>22</v>
      </c>
      <c r="O366" s="1" t="s">
        <v>2276</v>
      </c>
    </row>
    <row r="367" spans="1:15" x14ac:dyDescent="0.25">
      <c r="A367">
        <v>1389</v>
      </c>
      <c r="B367" s="1" t="s">
        <v>354</v>
      </c>
      <c r="C367" s="1" t="str">
        <f t="shared" si="5"/>
        <v>Quebec</v>
      </c>
      <c r="D367" s="1" t="s">
        <v>28</v>
      </c>
      <c r="E367" s="5">
        <v>43</v>
      </c>
      <c r="F367" s="1" t="s">
        <v>874</v>
      </c>
      <c r="G367" s="1" t="s">
        <v>875</v>
      </c>
      <c r="H367" t="s">
        <v>2270</v>
      </c>
      <c r="I367" s="1" t="s">
        <v>17</v>
      </c>
      <c r="J367" s="1" t="s">
        <v>25</v>
      </c>
      <c r="K367" s="1" t="s">
        <v>31</v>
      </c>
      <c r="L367" s="1" t="s">
        <v>32</v>
      </c>
      <c r="M367" s="1" t="s">
        <v>876</v>
      </c>
      <c r="N367" s="1" t="s">
        <v>22</v>
      </c>
      <c r="O367" s="1" t="s">
        <v>2276</v>
      </c>
    </row>
    <row r="368" spans="1:15" x14ac:dyDescent="0.25">
      <c r="A368">
        <v>1390</v>
      </c>
      <c r="B368" s="1" t="s">
        <v>354</v>
      </c>
      <c r="C368" s="1" t="str">
        <f t="shared" si="5"/>
        <v>Quebec</v>
      </c>
      <c r="D368" s="1" t="s">
        <v>28</v>
      </c>
      <c r="E368" s="5">
        <v>42</v>
      </c>
      <c r="F368" s="1" t="s">
        <v>32</v>
      </c>
      <c r="G368" s="1" t="s">
        <v>877</v>
      </c>
      <c r="H368" t="s">
        <v>2270</v>
      </c>
      <c r="I368" s="1" t="s">
        <v>17</v>
      </c>
      <c r="J368" s="1" t="s">
        <v>44</v>
      </c>
      <c r="K368" s="1" t="s">
        <v>31</v>
      </c>
      <c r="L368" s="1" t="s">
        <v>32</v>
      </c>
      <c r="M368" s="1" t="s">
        <v>878</v>
      </c>
      <c r="N368" s="1" t="s">
        <v>22</v>
      </c>
      <c r="O368" s="1" t="s">
        <v>2276</v>
      </c>
    </row>
    <row r="369" spans="1:15" x14ac:dyDescent="0.25">
      <c r="A369">
        <v>1391</v>
      </c>
      <c r="B369" s="1" t="s">
        <v>354</v>
      </c>
      <c r="C369" s="1" t="str">
        <f t="shared" si="5"/>
        <v>Quebec</v>
      </c>
      <c r="D369" s="1" t="s">
        <v>28</v>
      </c>
      <c r="E369" s="5">
        <v>55</v>
      </c>
      <c r="F369" s="1" t="s">
        <v>32</v>
      </c>
      <c r="G369" s="1" t="s">
        <v>879</v>
      </c>
      <c r="H369" t="s">
        <v>2270</v>
      </c>
      <c r="I369" s="1" t="s">
        <v>17</v>
      </c>
      <c r="J369" s="1" t="s">
        <v>25</v>
      </c>
      <c r="K369" s="1" t="s">
        <v>31</v>
      </c>
      <c r="L369" s="1" t="s">
        <v>32</v>
      </c>
      <c r="M369" s="1" t="s">
        <v>880</v>
      </c>
      <c r="N369" s="1" t="s">
        <v>22</v>
      </c>
      <c r="O369" s="1" t="s">
        <v>2276</v>
      </c>
    </row>
    <row r="370" spans="1:15" x14ac:dyDescent="0.25">
      <c r="A370">
        <v>1392</v>
      </c>
      <c r="B370" s="1" t="s">
        <v>354</v>
      </c>
      <c r="C370" s="1" t="str">
        <f t="shared" si="5"/>
        <v>Quebec</v>
      </c>
      <c r="D370" s="1" t="s">
        <v>73</v>
      </c>
      <c r="E370" s="5">
        <v>65</v>
      </c>
      <c r="F370" s="1" t="s">
        <v>881</v>
      </c>
      <c r="G370" s="1" t="s">
        <v>882</v>
      </c>
      <c r="H370" t="s">
        <v>2270</v>
      </c>
      <c r="I370" s="1" t="s">
        <v>40</v>
      </c>
      <c r="J370" s="1" t="s">
        <v>25</v>
      </c>
      <c r="K370" s="1" t="s">
        <v>31</v>
      </c>
      <c r="L370" s="1" t="s">
        <v>91</v>
      </c>
      <c r="M370" s="1" t="s">
        <v>883</v>
      </c>
      <c r="N370" s="1" t="s">
        <v>22</v>
      </c>
      <c r="O370" s="1" t="s">
        <v>2276</v>
      </c>
    </row>
    <row r="371" spans="1:15" x14ac:dyDescent="0.25">
      <c r="A371">
        <v>1393</v>
      </c>
      <c r="B371" s="1" t="s">
        <v>354</v>
      </c>
      <c r="C371" s="1" t="str">
        <f t="shared" si="5"/>
        <v>Quebec</v>
      </c>
      <c r="D371" s="1" t="s">
        <v>73</v>
      </c>
      <c r="E371" s="5">
        <v>50</v>
      </c>
      <c r="F371" s="1" t="s">
        <v>47</v>
      </c>
      <c r="G371" s="1" t="s">
        <v>884</v>
      </c>
      <c r="H371" t="s">
        <v>2270</v>
      </c>
      <c r="I371" s="1" t="s">
        <v>43</v>
      </c>
      <c r="J371" s="1" t="s">
        <v>25</v>
      </c>
      <c r="K371" s="1" t="s">
        <v>31</v>
      </c>
      <c r="L371" s="1" t="s">
        <v>45</v>
      </c>
      <c r="M371" s="1" t="s">
        <v>885</v>
      </c>
      <c r="N371" s="1" t="s">
        <v>22</v>
      </c>
      <c r="O371" s="1" t="s">
        <v>2276</v>
      </c>
    </row>
    <row r="372" spans="1:15" x14ac:dyDescent="0.25">
      <c r="A372">
        <v>1394</v>
      </c>
      <c r="B372" s="1" t="s">
        <v>354</v>
      </c>
      <c r="C372" s="1" t="str">
        <f t="shared" si="5"/>
        <v>Quebec</v>
      </c>
      <c r="D372" s="1" t="s">
        <v>73</v>
      </c>
      <c r="E372" s="5">
        <v>45</v>
      </c>
      <c r="F372" s="1" t="s">
        <v>886</v>
      </c>
      <c r="G372" s="1" t="s">
        <v>32</v>
      </c>
      <c r="H372" t="s">
        <v>2270</v>
      </c>
      <c r="I372" s="1" t="s">
        <v>17</v>
      </c>
      <c r="J372" s="1" t="s">
        <v>44</v>
      </c>
      <c r="K372" s="1" t="s">
        <v>19</v>
      </c>
      <c r="L372" s="1" t="s">
        <v>91</v>
      </c>
      <c r="M372" s="1" t="s">
        <v>887</v>
      </c>
      <c r="N372" s="1" t="s">
        <v>22</v>
      </c>
      <c r="O372" s="1" t="s">
        <v>2276</v>
      </c>
    </row>
    <row r="373" spans="1:15" x14ac:dyDescent="0.25">
      <c r="A373">
        <v>1395</v>
      </c>
      <c r="B373" s="1" t="s">
        <v>354</v>
      </c>
      <c r="C373" s="1" t="str">
        <f t="shared" si="5"/>
        <v>Quebec</v>
      </c>
      <c r="D373" s="1" t="s">
        <v>73</v>
      </c>
      <c r="E373" s="5">
        <v>65</v>
      </c>
      <c r="F373" s="1" t="s">
        <v>888</v>
      </c>
      <c r="G373" s="1" t="s">
        <v>114</v>
      </c>
      <c r="H373" t="s">
        <v>2270</v>
      </c>
      <c r="I373" s="1" t="s">
        <v>40</v>
      </c>
      <c r="J373" s="1" t="s">
        <v>44</v>
      </c>
      <c r="K373" s="1" t="s">
        <v>31</v>
      </c>
      <c r="L373" s="1" t="s">
        <v>91</v>
      </c>
      <c r="M373" s="1" t="s">
        <v>889</v>
      </c>
      <c r="N373" s="1" t="s">
        <v>22</v>
      </c>
      <c r="O373" s="1" t="s">
        <v>2276</v>
      </c>
    </row>
    <row r="374" spans="1:15" x14ac:dyDescent="0.25">
      <c r="A374">
        <v>1396</v>
      </c>
      <c r="B374" s="1" t="s">
        <v>354</v>
      </c>
      <c r="C374" s="1" t="str">
        <f t="shared" si="5"/>
        <v>Quebec</v>
      </c>
      <c r="D374" s="1" t="s">
        <v>73</v>
      </c>
      <c r="E374" s="5">
        <v>50</v>
      </c>
      <c r="F374" s="1" t="s">
        <v>890</v>
      </c>
      <c r="G374" s="1" t="s">
        <v>32</v>
      </c>
      <c r="H374" t="s">
        <v>2270</v>
      </c>
      <c r="I374" s="1" t="s">
        <v>43</v>
      </c>
      <c r="J374" s="1" t="s">
        <v>44</v>
      </c>
      <c r="K374" s="1" t="s">
        <v>31</v>
      </c>
      <c r="L374" s="1" t="s">
        <v>45</v>
      </c>
      <c r="M374" s="1" t="s">
        <v>891</v>
      </c>
      <c r="N374" s="1" t="s">
        <v>22</v>
      </c>
      <c r="O374" s="1" t="s">
        <v>2276</v>
      </c>
    </row>
    <row r="375" spans="1:15" x14ac:dyDescent="0.25">
      <c r="A375">
        <v>1397</v>
      </c>
      <c r="B375" s="1" t="s">
        <v>354</v>
      </c>
      <c r="C375" s="1" t="str">
        <f t="shared" si="5"/>
        <v>Quebec</v>
      </c>
      <c r="D375" s="1" t="s">
        <v>14</v>
      </c>
      <c r="E375" s="5">
        <v>60</v>
      </c>
      <c r="F375" s="1" t="s">
        <v>892</v>
      </c>
      <c r="G375" s="1" t="s">
        <v>32</v>
      </c>
      <c r="H375" t="s">
        <v>2270</v>
      </c>
      <c r="I375" s="1" t="s">
        <v>43</v>
      </c>
      <c r="J375" s="1" t="s">
        <v>44</v>
      </c>
      <c r="K375" s="1" t="s">
        <v>31</v>
      </c>
      <c r="L375" s="1" t="s">
        <v>45</v>
      </c>
      <c r="M375" s="1" t="s">
        <v>893</v>
      </c>
      <c r="N375" s="1" t="s">
        <v>22</v>
      </c>
      <c r="O375" s="1" t="s">
        <v>2276</v>
      </c>
    </row>
    <row r="376" spans="1:15" x14ac:dyDescent="0.25">
      <c r="A376">
        <v>1398</v>
      </c>
      <c r="B376" s="1" t="s">
        <v>354</v>
      </c>
      <c r="C376" s="1" t="str">
        <f t="shared" si="5"/>
        <v>Quebec</v>
      </c>
      <c r="D376" s="1" t="s">
        <v>14</v>
      </c>
      <c r="E376" s="5">
        <v>69</v>
      </c>
      <c r="F376" s="1" t="s">
        <v>894</v>
      </c>
      <c r="G376" s="1" t="s">
        <v>114</v>
      </c>
      <c r="H376" t="s">
        <v>2270</v>
      </c>
      <c r="I376" s="1" t="s">
        <v>40</v>
      </c>
      <c r="J376" s="1" t="s">
        <v>44</v>
      </c>
      <c r="K376" s="1" t="s">
        <v>31</v>
      </c>
      <c r="L376" s="1" t="s">
        <v>91</v>
      </c>
      <c r="M376" s="1" t="s">
        <v>895</v>
      </c>
      <c r="N376" s="1" t="s">
        <v>22</v>
      </c>
      <c r="O376" s="1" t="s">
        <v>2276</v>
      </c>
    </row>
    <row r="377" spans="1:15" x14ac:dyDescent="0.25">
      <c r="A377">
        <v>1399</v>
      </c>
      <c r="B377" s="1" t="s">
        <v>354</v>
      </c>
      <c r="C377" s="1" t="str">
        <f t="shared" si="5"/>
        <v>Quebec</v>
      </c>
      <c r="D377" s="1" t="s">
        <v>14</v>
      </c>
      <c r="E377" s="5">
        <v>42</v>
      </c>
      <c r="F377" s="1" t="s">
        <v>896</v>
      </c>
      <c r="G377" s="1" t="s">
        <v>428</v>
      </c>
      <c r="H377" t="s">
        <v>2270</v>
      </c>
      <c r="I377" s="1" t="s">
        <v>17</v>
      </c>
      <c r="J377" s="1" t="s">
        <v>44</v>
      </c>
      <c r="K377" s="1" t="s">
        <v>19</v>
      </c>
      <c r="L377" s="1" t="s">
        <v>91</v>
      </c>
      <c r="M377" s="1" t="s">
        <v>897</v>
      </c>
      <c r="N377" s="1" t="s">
        <v>22</v>
      </c>
      <c r="O377" s="1" t="s">
        <v>2276</v>
      </c>
    </row>
    <row r="378" spans="1:15" x14ac:dyDescent="0.25">
      <c r="A378">
        <v>1400</v>
      </c>
      <c r="B378" s="1" t="s">
        <v>354</v>
      </c>
      <c r="C378" s="1" t="str">
        <f t="shared" si="5"/>
        <v>Quebec</v>
      </c>
      <c r="D378" s="1" t="s">
        <v>14</v>
      </c>
      <c r="E378" s="5">
        <v>62</v>
      </c>
      <c r="F378" s="1" t="s">
        <v>898</v>
      </c>
      <c r="G378" s="1" t="s">
        <v>899</v>
      </c>
      <c r="H378" t="s">
        <v>2270</v>
      </c>
      <c r="I378" s="1" t="s">
        <v>24</v>
      </c>
      <c r="J378" s="1" t="s">
        <v>44</v>
      </c>
      <c r="K378" s="1" t="s">
        <v>107</v>
      </c>
      <c r="L378" s="1" t="s">
        <v>20</v>
      </c>
      <c r="M378" s="1" t="s">
        <v>900</v>
      </c>
      <c r="N378" s="1" t="s">
        <v>22</v>
      </c>
      <c r="O378" s="1" t="s">
        <v>2276</v>
      </c>
    </row>
    <row r="379" spans="1:15" x14ac:dyDescent="0.25">
      <c r="A379">
        <v>1401</v>
      </c>
      <c r="B379" s="1" t="s">
        <v>354</v>
      </c>
      <c r="C379" s="1" t="str">
        <f t="shared" si="5"/>
        <v>Quebec</v>
      </c>
      <c r="D379" s="1" t="s">
        <v>28</v>
      </c>
      <c r="E379" s="5">
        <v>42</v>
      </c>
      <c r="F379" s="1" t="s">
        <v>901</v>
      </c>
      <c r="G379" s="1" t="s">
        <v>902</v>
      </c>
      <c r="H379" t="s">
        <v>2270</v>
      </c>
      <c r="I379" s="1" t="s">
        <v>17</v>
      </c>
      <c r="J379" s="1" t="s">
        <v>25</v>
      </c>
      <c r="K379" s="1" t="s">
        <v>31</v>
      </c>
      <c r="L379" s="1" t="s">
        <v>91</v>
      </c>
      <c r="M379" s="1" t="s">
        <v>903</v>
      </c>
      <c r="N379" s="1" t="s">
        <v>22</v>
      </c>
      <c r="O379" s="1" t="s">
        <v>2276</v>
      </c>
    </row>
    <row r="380" spans="1:15" x14ac:dyDescent="0.25">
      <c r="A380">
        <v>1402</v>
      </c>
      <c r="B380" s="1" t="s">
        <v>354</v>
      </c>
      <c r="C380" s="1" t="str">
        <f t="shared" si="5"/>
        <v>Quebec</v>
      </c>
      <c r="D380" s="1" t="s">
        <v>28</v>
      </c>
      <c r="E380" s="5">
        <v>39</v>
      </c>
      <c r="F380" s="1" t="s">
        <v>904</v>
      </c>
      <c r="G380" s="1" t="s">
        <v>902</v>
      </c>
      <c r="H380" t="s">
        <v>2270</v>
      </c>
      <c r="I380" s="1" t="s">
        <v>17</v>
      </c>
      <c r="J380" s="1" t="s">
        <v>25</v>
      </c>
      <c r="K380" s="1" t="s">
        <v>31</v>
      </c>
      <c r="L380" s="1" t="s">
        <v>91</v>
      </c>
      <c r="M380" s="1" t="s">
        <v>905</v>
      </c>
      <c r="N380" s="1" t="s">
        <v>60</v>
      </c>
      <c r="O380" s="1" t="s">
        <v>2276</v>
      </c>
    </row>
    <row r="381" spans="1:15" x14ac:dyDescent="0.25">
      <c r="A381">
        <v>1403</v>
      </c>
      <c r="B381" s="1" t="s">
        <v>354</v>
      </c>
      <c r="C381" s="1" t="str">
        <f t="shared" si="5"/>
        <v>Quebec</v>
      </c>
      <c r="D381" s="1" t="s">
        <v>28</v>
      </c>
      <c r="E381" s="5">
        <v>39</v>
      </c>
      <c r="F381" s="1" t="s">
        <v>906</v>
      </c>
      <c r="G381" s="1" t="s">
        <v>32</v>
      </c>
      <c r="H381" t="s">
        <v>2270</v>
      </c>
      <c r="I381" s="1" t="s">
        <v>17</v>
      </c>
      <c r="J381" s="1" t="s">
        <v>25</v>
      </c>
      <c r="K381" s="1" t="s">
        <v>31</v>
      </c>
      <c r="L381" s="1" t="s">
        <v>91</v>
      </c>
      <c r="M381" s="1" t="s">
        <v>907</v>
      </c>
      <c r="N381" s="1" t="s">
        <v>60</v>
      </c>
      <c r="O381" s="1" t="s">
        <v>2276</v>
      </c>
    </row>
    <row r="382" spans="1:15" x14ac:dyDescent="0.25">
      <c r="A382">
        <v>1404</v>
      </c>
      <c r="B382" s="1" t="s">
        <v>354</v>
      </c>
      <c r="C382" s="1" t="str">
        <f t="shared" si="5"/>
        <v>Quebec</v>
      </c>
      <c r="D382" s="1" t="s">
        <v>28</v>
      </c>
      <c r="E382" s="5">
        <v>39</v>
      </c>
      <c r="F382" s="1" t="s">
        <v>908</v>
      </c>
      <c r="G382" s="1" t="s">
        <v>32</v>
      </c>
      <c r="H382" t="s">
        <v>2270</v>
      </c>
      <c r="I382" s="1" t="s">
        <v>17</v>
      </c>
      <c r="J382" s="1" t="s">
        <v>25</v>
      </c>
      <c r="K382" s="1" t="s">
        <v>31</v>
      </c>
      <c r="L382" s="1" t="s">
        <v>91</v>
      </c>
      <c r="M382" s="1" t="s">
        <v>909</v>
      </c>
      <c r="N382" s="1" t="s">
        <v>60</v>
      </c>
      <c r="O382" s="1" t="s">
        <v>2276</v>
      </c>
    </row>
    <row r="383" spans="1:15" x14ac:dyDescent="0.25">
      <c r="A383">
        <v>1405</v>
      </c>
      <c r="B383" s="1" t="s">
        <v>354</v>
      </c>
      <c r="C383" s="1" t="str">
        <f t="shared" si="5"/>
        <v>Quebec</v>
      </c>
      <c r="D383" s="1" t="s">
        <v>28</v>
      </c>
      <c r="E383" s="5">
        <v>39</v>
      </c>
      <c r="F383" s="1" t="s">
        <v>910</v>
      </c>
      <c r="G383" s="1" t="s">
        <v>32</v>
      </c>
      <c r="H383" t="s">
        <v>2270</v>
      </c>
      <c r="I383" s="1" t="s">
        <v>17</v>
      </c>
      <c r="J383" s="1" t="s">
        <v>25</v>
      </c>
      <c r="K383" s="1" t="s">
        <v>31</v>
      </c>
      <c r="L383" s="1" t="s">
        <v>91</v>
      </c>
      <c r="M383" s="1" t="s">
        <v>911</v>
      </c>
      <c r="N383" s="1" t="s">
        <v>60</v>
      </c>
      <c r="O383" s="1" t="s">
        <v>2276</v>
      </c>
    </row>
    <row r="384" spans="1:15" x14ac:dyDescent="0.25">
      <c r="A384">
        <v>1406</v>
      </c>
      <c r="B384" s="1" t="s">
        <v>354</v>
      </c>
      <c r="C384" s="1" t="str">
        <f t="shared" si="5"/>
        <v>Quebec</v>
      </c>
      <c r="D384" s="1" t="s">
        <v>28</v>
      </c>
      <c r="E384" s="5">
        <v>47</v>
      </c>
      <c r="F384" s="1" t="s">
        <v>912</v>
      </c>
      <c r="G384" s="1" t="s">
        <v>913</v>
      </c>
      <c r="H384" t="s">
        <v>2270</v>
      </c>
      <c r="I384" s="1" t="s">
        <v>24</v>
      </c>
      <c r="J384" s="1" t="s">
        <v>25</v>
      </c>
      <c r="K384" s="1" t="s">
        <v>31</v>
      </c>
      <c r="L384" s="1" t="s">
        <v>32</v>
      </c>
      <c r="M384" s="1" t="s">
        <v>914</v>
      </c>
      <c r="N384" s="1" t="s">
        <v>22</v>
      </c>
      <c r="O384" s="1" t="s">
        <v>2276</v>
      </c>
    </row>
    <row r="385" spans="1:15" x14ac:dyDescent="0.25">
      <c r="A385">
        <v>1407</v>
      </c>
      <c r="B385" s="1" t="s">
        <v>354</v>
      </c>
      <c r="C385" s="1" t="str">
        <f t="shared" si="5"/>
        <v>Quebec</v>
      </c>
      <c r="D385" s="1" t="s">
        <v>28</v>
      </c>
      <c r="E385" s="5">
        <v>49</v>
      </c>
      <c r="F385" s="1" t="s">
        <v>915</v>
      </c>
      <c r="G385" s="1" t="s">
        <v>916</v>
      </c>
      <c r="H385" t="s">
        <v>2270</v>
      </c>
      <c r="I385" s="1" t="s">
        <v>17</v>
      </c>
      <c r="J385" s="1" t="s">
        <v>25</v>
      </c>
      <c r="K385" s="1" t="s">
        <v>31</v>
      </c>
      <c r="L385" s="1" t="s">
        <v>32</v>
      </c>
      <c r="M385" s="1" t="s">
        <v>917</v>
      </c>
      <c r="N385" s="1" t="s">
        <v>22</v>
      </c>
      <c r="O385" s="1" t="s">
        <v>2276</v>
      </c>
    </row>
    <row r="386" spans="1:15" x14ac:dyDescent="0.25">
      <c r="A386">
        <v>1408</v>
      </c>
      <c r="B386" s="1" t="s">
        <v>354</v>
      </c>
      <c r="C386" s="1" t="str">
        <f t="shared" ref="C386:C449" si="6">IF(B386="NB","New Brunswick",IF(B386="AB","Alberta",IF(B386="BC","British Columbia",IF(B386="MB","Manitoba",IF(B386="NL","Newfoundland and Labrador",IF(B386="NS","Nova Scotia",IF(B386="ON","Ontario",IF(B386="PE","Prince Edward Island",IF(B386="QC","Quebec",IF(B386="SK","Saskatchewan",""))))))))))</f>
        <v>Quebec</v>
      </c>
      <c r="D386" s="1" t="s">
        <v>28</v>
      </c>
      <c r="E386" s="5">
        <v>40</v>
      </c>
      <c r="F386" s="1" t="s">
        <v>915</v>
      </c>
      <c r="G386" s="1" t="s">
        <v>918</v>
      </c>
      <c r="H386" t="s">
        <v>2270</v>
      </c>
      <c r="I386" s="1" t="s">
        <v>17</v>
      </c>
      <c r="J386" s="1" t="s">
        <v>25</v>
      </c>
      <c r="K386" s="1" t="s">
        <v>31</v>
      </c>
      <c r="L386" s="1" t="s">
        <v>32</v>
      </c>
      <c r="M386" s="1" t="s">
        <v>919</v>
      </c>
      <c r="N386" s="1" t="s">
        <v>22</v>
      </c>
      <c r="O386" s="1" t="s">
        <v>2276</v>
      </c>
    </row>
    <row r="387" spans="1:15" x14ac:dyDescent="0.25">
      <c r="A387">
        <v>1409</v>
      </c>
      <c r="B387" s="1" t="s">
        <v>354</v>
      </c>
      <c r="C387" s="1" t="str">
        <f t="shared" si="6"/>
        <v>Quebec</v>
      </c>
      <c r="D387" s="1" t="s">
        <v>28</v>
      </c>
      <c r="E387" s="5">
        <v>50</v>
      </c>
      <c r="F387" s="1" t="s">
        <v>920</v>
      </c>
      <c r="G387" s="1" t="s">
        <v>210</v>
      </c>
      <c r="H387" t="s">
        <v>2270</v>
      </c>
      <c r="I387" s="1" t="s">
        <v>24</v>
      </c>
      <c r="J387" s="1" t="s">
        <v>25</v>
      </c>
      <c r="K387" s="1" t="s">
        <v>31</v>
      </c>
      <c r="L387" s="1" t="s">
        <v>91</v>
      </c>
      <c r="M387" s="1" t="s">
        <v>921</v>
      </c>
      <c r="N387" s="1" t="s">
        <v>22</v>
      </c>
      <c r="O387" s="1" t="s">
        <v>2276</v>
      </c>
    </row>
    <row r="388" spans="1:15" x14ac:dyDescent="0.25">
      <c r="A388">
        <v>1410</v>
      </c>
      <c r="B388" s="1" t="s">
        <v>354</v>
      </c>
      <c r="C388" s="1" t="str">
        <f t="shared" si="6"/>
        <v>Quebec</v>
      </c>
      <c r="D388" s="1" t="s">
        <v>28</v>
      </c>
      <c r="E388" s="5">
        <v>55</v>
      </c>
      <c r="F388" s="1" t="s">
        <v>922</v>
      </c>
      <c r="G388" s="1" t="s">
        <v>32</v>
      </c>
      <c r="H388" t="s">
        <v>2270</v>
      </c>
      <c r="I388" s="1" t="s">
        <v>24</v>
      </c>
      <c r="J388" s="1" t="s">
        <v>25</v>
      </c>
      <c r="K388" s="1" t="s">
        <v>31</v>
      </c>
      <c r="L388" s="1" t="s">
        <v>91</v>
      </c>
      <c r="M388" s="1" t="s">
        <v>923</v>
      </c>
      <c r="N388" s="1" t="s">
        <v>22</v>
      </c>
      <c r="O388" s="1" t="s">
        <v>2276</v>
      </c>
    </row>
    <row r="389" spans="1:15" x14ac:dyDescent="0.25">
      <c r="A389">
        <v>1411</v>
      </c>
      <c r="B389" s="1" t="s">
        <v>354</v>
      </c>
      <c r="C389" s="1" t="str">
        <f t="shared" si="6"/>
        <v>Quebec</v>
      </c>
      <c r="D389" s="1" t="s">
        <v>28</v>
      </c>
      <c r="E389" s="5">
        <v>50</v>
      </c>
      <c r="F389" s="1" t="s">
        <v>912</v>
      </c>
      <c r="G389" s="1" t="s">
        <v>913</v>
      </c>
      <c r="H389" t="s">
        <v>2270</v>
      </c>
      <c r="I389" s="1" t="s">
        <v>24</v>
      </c>
      <c r="J389" s="1" t="s">
        <v>25</v>
      </c>
      <c r="K389" s="1" t="s">
        <v>31</v>
      </c>
      <c r="L389" s="1" t="s">
        <v>32</v>
      </c>
      <c r="M389" s="1" t="s">
        <v>924</v>
      </c>
      <c r="N389" s="1" t="s">
        <v>22</v>
      </c>
      <c r="O389" s="1" t="s">
        <v>2276</v>
      </c>
    </row>
    <row r="390" spans="1:15" x14ac:dyDescent="0.25">
      <c r="A390">
        <v>1412</v>
      </c>
      <c r="B390" s="1" t="s">
        <v>354</v>
      </c>
      <c r="C390" s="1" t="str">
        <f t="shared" si="6"/>
        <v>Quebec</v>
      </c>
      <c r="D390" s="1" t="s">
        <v>28</v>
      </c>
      <c r="E390" s="5">
        <v>46</v>
      </c>
      <c r="F390" s="1" t="s">
        <v>925</v>
      </c>
      <c r="G390" s="1" t="s">
        <v>926</v>
      </c>
      <c r="H390" t="s">
        <v>2270</v>
      </c>
      <c r="I390" s="1" t="s">
        <v>24</v>
      </c>
      <c r="J390" s="1" t="s">
        <v>25</v>
      </c>
      <c r="K390" s="1" t="s">
        <v>31</v>
      </c>
      <c r="L390" s="1" t="s">
        <v>32</v>
      </c>
      <c r="M390" s="1" t="s">
        <v>927</v>
      </c>
      <c r="N390" s="1" t="s">
        <v>22</v>
      </c>
      <c r="O390" s="1" t="s">
        <v>2276</v>
      </c>
    </row>
    <row r="391" spans="1:15" x14ac:dyDescent="0.25">
      <c r="A391">
        <v>1413</v>
      </c>
      <c r="B391" s="1" t="s">
        <v>354</v>
      </c>
      <c r="C391" s="1" t="str">
        <f t="shared" si="6"/>
        <v>Quebec</v>
      </c>
      <c r="D391" s="1" t="s">
        <v>28</v>
      </c>
      <c r="E391" s="5">
        <v>40</v>
      </c>
      <c r="F391" s="1" t="s">
        <v>928</v>
      </c>
      <c r="G391" s="1" t="s">
        <v>929</v>
      </c>
      <c r="H391" t="s">
        <v>2270</v>
      </c>
      <c r="I391" s="1" t="s">
        <v>17</v>
      </c>
      <c r="J391" s="1" t="s">
        <v>25</v>
      </c>
      <c r="K391" s="1" t="s">
        <v>31</v>
      </c>
      <c r="L391" s="1" t="s">
        <v>91</v>
      </c>
      <c r="M391" s="1" t="s">
        <v>930</v>
      </c>
      <c r="N391" s="1" t="s">
        <v>22</v>
      </c>
      <c r="O391" s="1" t="s">
        <v>2276</v>
      </c>
    </row>
    <row r="392" spans="1:15" x14ac:dyDescent="0.25">
      <c r="A392">
        <v>1414</v>
      </c>
      <c r="B392" s="1" t="s">
        <v>354</v>
      </c>
      <c r="C392" s="1" t="str">
        <f t="shared" si="6"/>
        <v>Quebec</v>
      </c>
      <c r="D392" s="1" t="s">
        <v>14</v>
      </c>
      <c r="E392" s="5">
        <v>44</v>
      </c>
      <c r="F392" s="1" t="s">
        <v>912</v>
      </c>
      <c r="G392" s="1" t="s">
        <v>931</v>
      </c>
      <c r="H392" t="s">
        <v>2270</v>
      </c>
      <c r="I392" s="1" t="s">
        <v>24</v>
      </c>
      <c r="J392" s="1" t="s">
        <v>25</v>
      </c>
      <c r="K392" s="1" t="s">
        <v>19</v>
      </c>
      <c r="L392" s="1" t="s">
        <v>20</v>
      </c>
      <c r="M392" s="1" t="s">
        <v>932</v>
      </c>
      <c r="N392" s="1" t="s">
        <v>60</v>
      </c>
      <c r="O392" s="1" t="s">
        <v>2276</v>
      </c>
    </row>
    <row r="393" spans="1:15" x14ac:dyDescent="0.25">
      <c r="A393">
        <v>1415</v>
      </c>
      <c r="B393" s="1" t="s">
        <v>354</v>
      </c>
      <c r="C393" s="1" t="str">
        <f t="shared" si="6"/>
        <v>Quebec</v>
      </c>
      <c r="D393" s="1" t="s">
        <v>14</v>
      </c>
      <c r="E393" s="5">
        <v>50</v>
      </c>
      <c r="F393" s="1" t="s">
        <v>933</v>
      </c>
      <c r="G393" s="1" t="s">
        <v>934</v>
      </c>
      <c r="H393" t="s">
        <v>2270</v>
      </c>
      <c r="I393" s="1" t="s">
        <v>43</v>
      </c>
      <c r="J393" s="1" t="s">
        <v>25</v>
      </c>
      <c r="K393" s="1" t="s">
        <v>19</v>
      </c>
      <c r="L393" s="1" t="s">
        <v>20</v>
      </c>
      <c r="M393" s="1" t="s">
        <v>935</v>
      </c>
      <c r="N393" s="1" t="s">
        <v>22</v>
      </c>
      <c r="O393" s="1" t="s">
        <v>2276</v>
      </c>
    </row>
    <row r="394" spans="1:15" x14ac:dyDescent="0.25">
      <c r="A394">
        <v>1416</v>
      </c>
      <c r="B394" s="1" t="s">
        <v>354</v>
      </c>
      <c r="C394" s="1" t="str">
        <f t="shared" si="6"/>
        <v>Quebec</v>
      </c>
      <c r="D394" s="1" t="s">
        <v>14</v>
      </c>
      <c r="E394" s="5">
        <v>48</v>
      </c>
      <c r="F394" s="1" t="s">
        <v>912</v>
      </c>
      <c r="G394" s="1" t="s">
        <v>936</v>
      </c>
      <c r="H394" t="s">
        <v>2270</v>
      </c>
      <c r="I394" s="1" t="s">
        <v>24</v>
      </c>
      <c r="J394" s="1" t="s">
        <v>25</v>
      </c>
      <c r="K394" s="1" t="s">
        <v>19</v>
      </c>
      <c r="L394" s="1" t="s">
        <v>20</v>
      </c>
      <c r="M394" s="1" t="s">
        <v>937</v>
      </c>
      <c r="N394" s="1" t="s">
        <v>22</v>
      </c>
      <c r="O394" s="1" t="s">
        <v>2276</v>
      </c>
    </row>
    <row r="395" spans="1:15" x14ac:dyDescent="0.25">
      <c r="A395">
        <v>1417</v>
      </c>
      <c r="B395" s="1" t="s">
        <v>354</v>
      </c>
      <c r="C395" s="1" t="str">
        <f t="shared" si="6"/>
        <v>Quebec</v>
      </c>
      <c r="D395" s="1" t="s">
        <v>28</v>
      </c>
      <c r="E395" s="5">
        <v>40</v>
      </c>
      <c r="F395" s="1" t="s">
        <v>938</v>
      </c>
      <c r="G395" s="1" t="s">
        <v>939</v>
      </c>
      <c r="H395" t="s">
        <v>2270</v>
      </c>
      <c r="I395" s="1" t="s">
        <v>17</v>
      </c>
      <c r="J395" s="1" t="s">
        <v>25</v>
      </c>
      <c r="K395" s="1" t="s">
        <v>31</v>
      </c>
      <c r="L395" s="1" t="s">
        <v>91</v>
      </c>
      <c r="M395" s="1" t="s">
        <v>940</v>
      </c>
      <c r="N395" s="1" t="s">
        <v>22</v>
      </c>
      <c r="O395" s="1" t="s">
        <v>2276</v>
      </c>
    </row>
    <row r="396" spans="1:15" x14ac:dyDescent="0.25">
      <c r="A396">
        <v>1418</v>
      </c>
      <c r="B396" s="1" t="s">
        <v>354</v>
      </c>
      <c r="C396" s="1" t="str">
        <f t="shared" si="6"/>
        <v>Quebec</v>
      </c>
      <c r="D396" s="1" t="s">
        <v>28</v>
      </c>
      <c r="E396" s="5">
        <v>47</v>
      </c>
      <c r="F396" s="1" t="s">
        <v>941</v>
      </c>
      <c r="G396" s="1" t="s">
        <v>942</v>
      </c>
      <c r="H396" t="s">
        <v>2270</v>
      </c>
      <c r="I396" s="1" t="s">
        <v>24</v>
      </c>
      <c r="J396" s="1" t="s">
        <v>25</v>
      </c>
      <c r="K396" s="1" t="s">
        <v>31</v>
      </c>
      <c r="L396" s="1" t="s">
        <v>32</v>
      </c>
      <c r="M396" s="1" t="s">
        <v>943</v>
      </c>
      <c r="N396" s="1" t="s">
        <v>22</v>
      </c>
      <c r="O396" s="1" t="s">
        <v>2276</v>
      </c>
    </row>
    <row r="397" spans="1:15" x14ac:dyDescent="0.25">
      <c r="A397">
        <v>1419</v>
      </c>
      <c r="B397" s="1" t="s">
        <v>354</v>
      </c>
      <c r="C397" s="1" t="str">
        <f t="shared" si="6"/>
        <v>Quebec</v>
      </c>
      <c r="D397" s="1" t="s">
        <v>28</v>
      </c>
      <c r="E397" s="5">
        <v>26</v>
      </c>
      <c r="F397" s="1" t="s">
        <v>944</v>
      </c>
      <c r="G397" s="1" t="s">
        <v>945</v>
      </c>
      <c r="H397" t="s">
        <v>2270</v>
      </c>
      <c r="I397" s="1" t="s">
        <v>24</v>
      </c>
      <c r="J397" s="1" t="s">
        <v>25</v>
      </c>
      <c r="K397" s="1" t="s">
        <v>31</v>
      </c>
      <c r="L397" s="1" t="s">
        <v>20</v>
      </c>
      <c r="M397" s="1" t="s">
        <v>946</v>
      </c>
      <c r="N397" s="1" t="s">
        <v>60</v>
      </c>
      <c r="O397" s="1" t="s">
        <v>2276</v>
      </c>
    </row>
    <row r="398" spans="1:15" x14ac:dyDescent="0.25">
      <c r="A398">
        <v>1420</v>
      </c>
      <c r="B398" s="1" t="s">
        <v>354</v>
      </c>
      <c r="C398" s="1" t="str">
        <f t="shared" si="6"/>
        <v>Quebec</v>
      </c>
      <c r="D398" s="1" t="s">
        <v>28</v>
      </c>
      <c r="E398" s="5">
        <v>26</v>
      </c>
      <c r="F398" s="1" t="s">
        <v>947</v>
      </c>
      <c r="G398" s="1" t="s">
        <v>948</v>
      </c>
      <c r="H398" t="s">
        <v>2270</v>
      </c>
      <c r="I398" s="1" t="s">
        <v>24</v>
      </c>
      <c r="J398" s="1" t="s">
        <v>25</v>
      </c>
      <c r="K398" s="1" t="s">
        <v>31</v>
      </c>
      <c r="L398" s="1" t="s">
        <v>32</v>
      </c>
      <c r="M398" s="1" t="s">
        <v>949</v>
      </c>
      <c r="N398" s="1" t="s">
        <v>60</v>
      </c>
      <c r="O398" s="1" t="s">
        <v>2276</v>
      </c>
    </row>
    <row r="399" spans="1:15" x14ac:dyDescent="0.25">
      <c r="A399">
        <v>1421</v>
      </c>
      <c r="B399" s="1" t="s">
        <v>354</v>
      </c>
      <c r="C399" s="1" t="str">
        <f t="shared" si="6"/>
        <v>Quebec</v>
      </c>
      <c r="D399" s="1" t="s">
        <v>28</v>
      </c>
      <c r="E399" s="5">
        <v>41</v>
      </c>
      <c r="F399" s="1" t="s">
        <v>32</v>
      </c>
      <c r="G399" s="1" t="s">
        <v>950</v>
      </c>
      <c r="H399" t="s">
        <v>2270</v>
      </c>
      <c r="I399" s="1" t="s">
        <v>17</v>
      </c>
      <c r="J399" s="1" t="s">
        <v>25</v>
      </c>
      <c r="K399" s="1" t="s">
        <v>31</v>
      </c>
      <c r="L399" s="1" t="s">
        <v>91</v>
      </c>
      <c r="M399" s="1" t="s">
        <v>951</v>
      </c>
      <c r="N399" s="1" t="s">
        <v>60</v>
      </c>
      <c r="O399" s="1" t="s">
        <v>2276</v>
      </c>
    </row>
    <row r="400" spans="1:15" x14ac:dyDescent="0.25">
      <c r="A400">
        <v>1422</v>
      </c>
      <c r="B400" s="1" t="s">
        <v>354</v>
      </c>
      <c r="C400" s="1" t="str">
        <f t="shared" si="6"/>
        <v>Quebec</v>
      </c>
      <c r="D400" s="1" t="s">
        <v>14</v>
      </c>
      <c r="E400" s="5">
        <v>52</v>
      </c>
      <c r="F400" s="1" t="s">
        <v>47</v>
      </c>
      <c r="G400" s="1" t="s">
        <v>952</v>
      </c>
      <c r="H400" t="s">
        <v>2270</v>
      </c>
      <c r="I400" s="1" t="s">
        <v>43</v>
      </c>
      <c r="J400" s="1" t="s">
        <v>44</v>
      </c>
      <c r="K400" s="1" t="s">
        <v>31</v>
      </c>
      <c r="L400" s="1" t="s">
        <v>32</v>
      </c>
      <c r="M400" s="1" t="s">
        <v>953</v>
      </c>
      <c r="N400" s="1" t="s">
        <v>22</v>
      </c>
      <c r="O400" s="1" t="s">
        <v>2276</v>
      </c>
    </row>
    <row r="401" spans="1:15" x14ac:dyDescent="0.25">
      <c r="A401">
        <v>1423</v>
      </c>
      <c r="B401" s="1" t="s">
        <v>354</v>
      </c>
      <c r="C401" s="1" t="str">
        <f t="shared" si="6"/>
        <v>Quebec</v>
      </c>
      <c r="D401" s="1" t="s">
        <v>14</v>
      </c>
      <c r="E401" s="5">
        <v>68</v>
      </c>
      <c r="F401" s="1" t="s">
        <v>954</v>
      </c>
      <c r="G401" s="1" t="s">
        <v>114</v>
      </c>
      <c r="H401" t="s">
        <v>2270</v>
      </c>
      <c r="I401" s="1" t="s">
        <v>40</v>
      </c>
      <c r="J401" s="1" t="s">
        <v>44</v>
      </c>
      <c r="K401" s="1" t="s">
        <v>31</v>
      </c>
      <c r="L401" s="1" t="s">
        <v>91</v>
      </c>
      <c r="M401" s="1" t="s">
        <v>955</v>
      </c>
      <c r="N401" s="1" t="s">
        <v>22</v>
      </c>
      <c r="O401" s="1" t="s">
        <v>2276</v>
      </c>
    </row>
    <row r="402" spans="1:15" x14ac:dyDescent="0.25">
      <c r="A402">
        <v>1424</v>
      </c>
      <c r="B402" s="1" t="s">
        <v>354</v>
      </c>
      <c r="C402" s="1" t="str">
        <f t="shared" si="6"/>
        <v>Quebec</v>
      </c>
      <c r="D402" s="1" t="s">
        <v>14</v>
      </c>
      <c r="E402" s="5">
        <v>42</v>
      </c>
      <c r="F402" s="1" t="s">
        <v>625</v>
      </c>
      <c r="G402" s="1" t="s">
        <v>956</v>
      </c>
      <c r="H402" t="s">
        <v>2270</v>
      </c>
      <c r="I402" s="1" t="s">
        <v>17</v>
      </c>
      <c r="J402" s="1" t="s">
        <v>44</v>
      </c>
      <c r="K402" s="1" t="s">
        <v>31</v>
      </c>
      <c r="L402" s="1" t="s">
        <v>91</v>
      </c>
      <c r="M402" s="1" t="s">
        <v>957</v>
      </c>
      <c r="N402" s="1" t="s">
        <v>22</v>
      </c>
      <c r="O402" s="1" t="s">
        <v>2276</v>
      </c>
    </row>
    <row r="403" spans="1:15" x14ac:dyDescent="0.25">
      <c r="A403">
        <v>1425</v>
      </c>
      <c r="B403" s="1" t="s">
        <v>354</v>
      </c>
      <c r="C403" s="1" t="str">
        <f t="shared" si="6"/>
        <v>Quebec</v>
      </c>
      <c r="D403" s="1" t="s">
        <v>14</v>
      </c>
      <c r="E403" s="5">
        <v>51</v>
      </c>
      <c r="F403" s="1" t="s">
        <v>958</v>
      </c>
      <c r="G403" s="1" t="s">
        <v>959</v>
      </c>
      <c r="H403" t="s">
        <v>2270</v>
      </c>
      <c r="I403" s="1" t="s">
        <v>43</v>
      </c>
      <c r="J403" s="1" t="s">
        <v>44</v>
      </c>
      <c r="K403" s="1" t="s">
        <v>31</v>
      </c>
      <c r="L403" s="1" t="s">
        <v>45</v>
      </c>
      <c r="M403" s="1" t="s">
        <v>960</v>
      </c>
      <c r="N403" s="1" t="s">
        <v>22</v>
      </c>
      <c r="O403" s="1" t="s">
        <v>2276</v>
      </c>
    </row>
    <row r="404" spans="1:15" x14ac:dyDescent="0.25">
      <c r="A404">
        <v>1426</v>
      </c>
      <c r="B404" s="1" t="s">
        <v>354</v>
      </c>
      <c r="C404" s="1" t="str">
        <f t="shared" si="6"/>
        <v>Quebec</v>
      </c>
      <c r="D404" s="1" t="s">
        <v>28</v>
      </c>
      <c r="E404" s="5">
        <v>50</v>
      </c>
      <c r="F404" s="1" t="s">
        <v>47</v>
      </c>
      <c r="G404" s="1" t="s">
        <v>32</v>
      </c>
      <c r="H404" t="s">
        <v>2270</v>
      </c>
      <c r="I404" s="1" t="s">
        <v>43</v>
      </c>
      <c r="J404" s="1" t="s">
        <v>25</v>
      </c>
      <c r="K404" s="1" t="s">
        <v>31</v>
      </c>
      <c r="L404" s="1" t="s">
        <v>45</v>
      </c>
      <c r="M404" s="1" t="s">
        <v>961</v>
      </c>
      <c r="N404" s="1" t="s">
        <v>22</v>
      </c>
      <c r="O404" s="1" t="s">
        <v>2276</v>
      </c>
    </row>
    <row r="405" spans="1:15" x14ac:dyDescent="0.25">
      <c r="A405">
        <v>1427</v>
      </c>
      <c r="B405" s="1" t="s">
        <v>354</v>
      </c>
      <c r="C405" s="1" t="str">
        <f t="shared" si="6"/>
        <v>Quebec</v>
      </c>
      <c r="D405" s="1" t="s">
        <v>28</v>
      </c>
      <c r="E405" s="5">
        <v>50</v>
      </c>
      <c r="F405" s="1" t="s">
        <v>47</v>
      </c>
      <c r="G405" s="1" t="s">
        <v>32</v>
      </c>
      <c r="H405" t="s">
        <v>2270</v>
      </c>
      <c r="I405" s="1" t="s">
        <v>43</v>
      </c>
      <c r="J405" s="1" t="s">
        <v>25</v>
      </c>
      <c r="K405" s="1" t="s">
        <v>31</v>
      </c>
      <c r="L405" s="1" t="s">
        <v>45</v>
      </c>
      <c r="M405" s="1" t="s">
        <v>962</v>
      </c>
      <c r="N405" s="1" t="s">
        <v>22</v>
      </c>
      <c r="O405" s="1" t="s">
        <v>2276</v>
      </c>
    </row>
    <row r="406" spans="1:15" x14ac:dyDescent="0.25">
      <c r="A406">
        <v>1428</v>
      </c>
      <c r="B406" s="1" t="s">
        <v>354</v>
      </c>
      <c r="C406" s="1" t="str">
        <f t="shared" si="6"/>
        <v>Quebec</v>
      </c>
      <c r="D406" s="1" t="s">
        <v>28</v>
      </c>
      <c r="E406" s="5">
        <v>54</v>
      </c>
      <c r="F406" s="1" t="s">
        <v>963</v>
      </c>
      <c r="G406" s="1" t="s">
        <v>32</v>
      </c>
      <c r="H406" t="s">
        <v>2270</v>
      </c>
      <c r="I406" s="1" t="s">
        <v>43</v>
      </c>
      <c r="J406" s="1" t="s">
        <v>25</v>
      </c>
      <c r="K406" s="1" t="s">
        <v>31</v>
      </c>
      <c r="L406" s="1" t="s">
        <v>32</v>
      </c>
      <c r="M406" s="1" t="s">
        <v>964</v>
      </c>
      <c r="N406" s="1" t="s">
        <v>22</v>
      </c>
      <c r="O406" s="1" t="s">
        <v>2276</v>
      </c>
    </row>
    <row r="407" spans="1:15" x14ac:dyDescent="0.25">
      <c r="A407">
        <v>1429</v>
      </c>
      <c r="B407" s="1" t="s">
        <v>354</v>
      </c>
      <c r="C407" s="1" t="str">
        <f t="shared" si="6"/>
        <v>Quebec</v>
      </c>
      <c r="D407" s="1" t="s">
        <v>28</v>
      </c>
      <c r="E407" s="5">
        <v>50</v>
      </c>
      <c r="F407" s="1" t="s">
        <v>47</v>
      </c>
      <c r="G407" s="1" t="s">
        <v>32</v>
      </c>
      <c r="H407" t="s">
        <v>2271</v>
      </c>
      <c r="I407" s="1" t="s">
        <v>43</v>
      </c>
      <c r="J407" s="1" t="s">
        <v>25</v>
      </c>
      <c r="K407" s="1" t="s">
        <v>31</v>
      </c>
      <c r="L407" s="1" t="s">
        <v>45</v>
      </c>
      <c r="M407" s="1" t="s">
        <v>965</v>
      </c>
      <c r="N407" s="1" t="s">
        <v>22</v>
      </c>
      <c r="O407" s="1" t="s">
        <v>2276</v>
      </c>
    </row>
    <row r="408" spans="1:15" x14ac:dyDescent="0.25">
      <c r="A408">
        <v>1430</v>
      </c>
      <c r="B408" s="1" t="s">
        <v>354</v>
      </c>
      <c r="C408" s="1" t="str">
        <f t="shared" si="6"/>
        <v>Quebec</v>
      </c>
      <c r="D408" s="1" t="s">
        <v>28</v>
      </c>
      <c r="E408" s="5">
        <v>50</v>
      </c>
      <c r="F408" s="1" t="s">
        <v>966</v>
      </c>
      <c r="G408" s="1" t="s">
        <v>32</v>
      </c>
      <c r="H408" t="s">
        <v>2271</v>
      </c>
      <c r="I408" s="1" t="s">
        <v>43</v>
      </c>
      <c r="J408" s="1" t="s">
        <v>25</v>
      </c>
      <c r="K408" s="1" t="s">
        <v>31</v>
      </c>
      <c r="L408" s="1" t="s">
        <v>45</v>
      </c>
      <c r="M408" s="1" t="s">
        <v>967</v>
      </c>
      <c r="N408" s="1" t="s">
        <v>22</v>
      </c>
      <c r="O408" s="1" t="s">
        <v>2276</v>
      </c>
    </row>
    <row r="409" spans="1:15" x14ac:dyDescent="0.25">
      <c r="A409">
        <v>1431</v>
      </c>
      <c r="B409" s="1" t="s">
        <v>354</v>
      </c>
      <c r="C409" s="1" t="str">
        <f t="shared" si="6"/>
        <v>Quebec</v>
      </c>
      <c r="D409" s="1" t="s">
        <v>28</v>
      </c>
      <c r="E409" s="5">
        <v>43</v>
      </c>
      <c r="F409" s="1" t="s">
        <v>47</v>
      </c>
      <c r="G409" s="1" t="s">
        <v>968</v>
      </c>
      <c r="H409" t="s">
        <v>2271</v>
      </c>
      <c r="I409" s="1" t="s">
        <v>24</v>
      </c>
      <c r="J409" s="1" t="s">
        <v>25</v>
      </c>
      <c r="K409" s="1" t="s">
        <v>31</v>
      </c>
      <c r="L409" s="1" t="s">
        <v>20</v>
      </c>
      <c r="M409" s="1" t="s">
        <v>969</v>
      </c>
      <c r="N409" s="1" t="s">
        <v>22</v>
      </c>
      <c r="O409" s="1" t="s">
        <v>2276</v>
      </c>
    </row>
    <row r="410" spans="1:15" x14ac:dyDescent="0.25">
      <c r="A410">
        <v>1432</v>
      </c>
      <c r="B410" s="1" t="s">
        <v>354</v>
      </c>
      <c r="C410" s="1" t="str">
        <f t="shared" si="6"/>
        <v>Quebec</v>
      </c>
      <c r="D410" s="1" t="s">
        <v>28</v>
      </c>
      <c r="E410" s="5">
        <v>58</v>
      </c>
      <c r="F410" s="1" t="s">
        <v>970</v>
      </c>
      <c r="G410" s="1" t="s">
        <v>971</v>
      </c>
      <c r="H410" t="s">
        <v>2271</v>
      </c>
      <c r="I410" s="1" t="s">
        <v>40</v>
      </c>
      <c r="J410" s="1" t="s">
        <v>44</v>
      </c>
      <c r="K410" s="1" t="s">
        <v>31</v>
      </c>
      <c r="L410" s="1" t="s">
        <v>91</v>
      </c>
      <c r="M410" s="1" t="s">
        <v>972</v>
      </c>
      <c r="N410" s="1" t="s">
        <v>22</v>
      </c>
      <c r="O410" s="1" t="s">
        <v>2276</v>
      </c>
    </row>
    <row r="411" spans="1:15" x14ac:dyDescent="0.25">
      <c r="A411">
        <v>1433</v>
      </c>
      <c r="B411" s="1" t="s">
        <v>354</v>
      </c>
      <c r="C411" s="1" t="str">
        <f t="shared" si="6"/>
        <v>Quebec</v>
      </c>
      <c r="D411" s="1" t="s">
        <v>28</v>
      </c>
      <c r="E411" s="5">
        <v>50</v>
      </c>
      <c r="F411" s="1" t="s">
        <v>47</v>
      </c>
      <c r="G411" s="1" t="s">
        <v>32</v>
      </c>
      <c r="H411" t="s">
        <v>2270</v>
      </c>
      <c r="I411" s="1" t="s">
        <v>43</v>
      </c>
      <c r="J411" s="1" t="s">
        <v>25</v>
      </c>
      <c r="K411" s="1" t="s">
        <v>32</v>
      </c>
      <c r="L411" s="1" t="s">
        <v>45</v>
      </c>
      <c r="M411" s="1" t="s">
        <v>973</v>
      </c>
      <c r="N411" s="1" t="s">
        <v>60</v>
      </c>
      <c r="O411" s="1" t="s">
        <v>2276</v>
      </c>
    </row>
    <row r="412" spans="1:15" x14ac:dyDescent="0.25">
      <c r="A412">
        <v>1434</v>
      </c>
      <c r="B412" s="1" t="s">
        <v>354</v>
      </c>
      <c r="C412" s="1" t="str">
        <f t="shared" si="6"/>
        <v>Quebec</v>
      </c>
      <c r="D412" s="1" t="s">
        <v>28</v>
      </c>
      <c r="E412" s="5">
        <v>50</v>
      </c>
      <c r="F412" s="1" t="s">
        <v>47</v>
      </c>
      <c r="G412" s="1" t="s">
        <v>32</v>
      </c>
      <c r="H412" t="s">
        <v>2270</v>
      </c>
      <c r="I412" s="1" t="s">
        <v>43</v>
      </c>
      <c r="J412" s="1" t="s">
        <v>25</v>
      </c>
      <c r="K412" s="1" t="s">
        <v>32</v>
      </c>
      <c r="L412" s="1" t="s">
        <v>45</v>
      </c>
      <c r="M412" s="1" t="s">
        <v>974</v>
      </c>
      <c r="N412" s="1" t="s">
        <v>60</v>
      </c>
      <c r="O412" s="1" t="s">
        <v>2276</v>
      </c>
    </row>
    <row r="413" spans="1:15" x14ac:dyDescent="0.25">
      <c r="A413">
        <v>1435</v>
      </c>
      <c r="B413" s="1" t="s">
        <v>354</v>
      </c>
      <c r="C413" s="1" t="str">
        <f t="shared" si="6"/>
        <v>Quebec</v>
      </c>
      <c r="D413" s="1" t="s">
        <v>28</v>
      </c>
      <c r="E413" s="5">
        <v>50</v>
      </c>
      <c r="F413" s="1" t="s">
        <v>47</v>
      </c>
      <c r="G413" s="1" t="s">
        <v>32</v>
      </c>
      <c r="H413" t="s">
        <v>2270</v>
      </c>
      <c r="I413" s="1" t="s">
        <v>43</v>
      </c>
      <c r="J413" s="1" t="s">
        <v>25</v>
      </c>
      <c r="K413" s="1" t="s">
        <v>31</v>
      </c>
      <c r="L413" s="1" t="s">
        <v>45</v>
      </c>
      <c r="M413" s="1" t="s">
        <v>975</v>
      </c>
      <c r="N413" s="1" t="s">
        <v>60</v>
      </c>
      <c r="O413" s="1" t="s">
        <v>2276</v>
      </c>
    </row>
    <row r="414" spans="1:15" x14ac:dyDescent="0.25">
      <c r="A414">
        <v>1436</v>
      </c>
      <c r="B414" s="1" t="s">
        <v>354</v>
      </c>
      <c r="C414" s="1" t="str">
        <f t="shared" si="6"/>
        <v>Quebec</v>
      </c>
      <c r="D414" s="1" t="s">
        <v>28</v>
      </c>
      <c r="E414" s="5">
        <v>50</v>
      </c>
      <c r="F414" s="1" t="s">
        <v>976</v>
      </c>
      <c r="G414" s="1" t="s">
        <v>32</v>
      </c>
      <c r="H414" t="s">
        <v>2270</v>
      </c>
      <c r="I414" s="1" t="s">
        <v>43</v>
      </c>
      <c r="J414" s="1" t="s">
        <v>25</v>
      </c>
      <c r="K414" s="1" t="s">
        <v>31</v>
      </c>
      <c r="L414" s="1" t="s">
        <v>45</v>
      </c>
      <c r="M414" s="1" t="s">
        <v>977</v>
      </c>
      <c r="N414" s="1" t="s">
        <v>60</v>
      </c>
      <c r="O414" s="1" t="s">
        <v>2276</v>
      </c>
    </row>
    <row r="415" spans="1:15" x14ac:dyDescent="0.25">
      <c r="A415">
        <v>1437</v>
      </c>
      <c r="B415" s="1" t="s">
        <v>354</v>
      </c>
      <c r="C415" s="1" t="str">
        <f t="shared" si="6"/>
        <v>Quebec</v>
      </c>
      <c r="D415" s="1" t="s">
        <v>28</v>
      </c>
      <c r="E415" s="5">
        <v>50</v>
      </c>
      <c r="F415" s="1" t="s">
        <v>978</v>
      </c>
      <c r="G415" s="1" t="s">
        <v>32</v>
      </c>
      <c r="H415" t="s">
        <v>2270</v>
      </c>
      <c r="I415" s="1" t="s">
        <v>43</v>
      </c>
      <c r="J415" s="1" t="s">
        <v>25</v>
      </c>
      <c r="K415" s="1" t="s">
        <v>31</v>
      </c>
      <c r="L415" s="1" t="s">
        <v>45</v>
      </c>
      <c r="M415" s="1" t="s">
        <v>979</v>
      </c>
      <c r="N415" s="1" t="s">
        <v>60</v>
      </c>
      <c r="O415" s="1" t="s">
        <v>2276</v>
      </c>
    </row>
    <row r="416" spans="1:15" x14ac:dyDescent="0.25">
      <c r="A416">
        <v>1438</v>
      </c>
      <c r="B416" s="1" t="s">
        <v>354</v>
      </c>
      <c r="C416" s="1" t="str">
        <f t="shared" si="6"/>
        <v>Quebec</v>
      </c>
      <c r="D416" s="1" t="s">
        <v>28</v>
      </c>
      <c r="E416" s="5">
        <v>50</v>
      </c>
      <c r="F416" s="1" t="s">
        <v>47</v>
      </c>
      <c r="G416" s="1" t="s">
        <v>32</v>
      </c>
      <c r="H416" t="s">
        <v>2270</v>
      </c>
      <c r="I416" s="1" t="s">
        <v>43</v>
      </c>
      <c r="J416" s="1" t="s">
        <v>25</v>
      </c>
      <c r="K416" s="1" t="s">
        <v>31</v>
      </c>
      <c r="L416" s="1" t="s">
        <v>45</v>
      </c>
      <c r="M416" s="1" t="s">
        <v>980</v>
      </c>
      <c r="N416" s="1" t="s">
        <v>60</v>
      </c>
      <c r="O416" s="1" t="s">
        <v>2276</v>
      </c>
    </row>
    <row r="417" spans="1:15" x14ac:dyDescent="0.25">
      <c r="A417">
        <v>1439</v>
      </c>
      <c r="B417" s="1" t="s">
        <v>354</v>
      </c>
      <c r="C417" s="1" t="str">
        <f t="shared" si="6"/>
        <v>Quebec</v>
      </c>
      <c r="D417" s="1" t="s">
        <v>28</v>
      </c>
      <c r="E417" s="5">
        <v>50</v>
      </c>
      <c r="F417" s="1" t="s">
        <v>981</v>
      </c>
      <c r="G417" s="1" t="s">
        <v>32</v>
      </c>
      <c r="H417" t="s">
        <v>2270</v>
      </c>
      <c r="I417" s="1" t="s">
        <v>43</v>
      </c>
      <c r="J417" s="1" t="s">
        <v>44</v>
      </c>
      <c r="K417" s="1" t="s">
        <v>31</v>
      </c>
      <c r="L417" s="1" t="s">
        <v>45</v>
      </c>
      <c r="M417" s="1" t="s">
        <v>982</v>
      </c>
      <c r="N417" s="1" t="s">
        <v>22</v>
      </c>
      <c r="O417" s="1" t="s">
        <v>2276</v>
      </c>
    </row>
    <row r="418" spans="1:15" x14ac:dyDescent="0.25">
      <c r="A418">
        <v>1440</v>
      </c>
      <c r="B418" s="1" t="s">
        <v>354</v>
      </c>
      <c r="C418" s="1" t="str">
        <f t="shared" si="6"/>
        <v>Quebec</v>
      </c>
      <c r="D418" s="1" t="s">
        <v>28</v>
      </c>
      <c r="E418" s="5">
        <v>50</v>
      </c>
      <c r="F418" s="1" t="s">
        <v>983</v>
      </c>
      <c r="G418" s="1" t="s">
        <v>32</v>
      </c>
      <c r="H418" t="s">
        <v>2270</v>
      </c>
      <c r="I418" s="1" t="s">
        <v>43</v>
      </c>
      <c r="J418" s="1" t="s">
        <v>25</v>
      </c>
      <c r="K418" s="1" t="s">
        <v>31</v>
      </c>
      <c r="L418" s="1" t="s">
        <v>45</v>
      </c>
      <c r="M418" s="1" t="s">
        <v>984</v>
      </c>
      <c r="N418" s="1" t="s">
        <v>60</v>
      </c>
      <c r="O418" s="1" t="s">
        <v>2276</v>
      </c>
    </row>
    <row r="419" spans="1:15" x14ac:dyDescent="0.25">
      <c r="A419">
        <v>1441</v>
      </c>
      <c r="B419" s="1" t="s">
        <v>354</v>
      </c>
      <c r="C419" s="1" t="str">
        <f t="shared" si="6"/>
        <v>Quebec</v>
      </c>
      <c r="D419" s="1" t="s">
        <v>28</v>
      </c>
      <c r="E419" s="5">
        <v>59</v>
      </c>
      <c r="F419" s="1" t="s">
        <v>869</v>
      </c>
      <c r="G419" s="1" t="s">
        <v>32</v>
      </c>
      <c r="H419" t="s">
        <v>2270</v>
      </c>
      <c r="I419" s="1" t="s">
        <v>43</v>
      </c>
      <c r="J419" s="1" t="s">
        <v>25</v>
      </c>
      <c r="K419" s="1" t="s">
        <v>31</v>
      </c>
      <c r="L419" s="1" t="s">
        <v>45</v>
      </c>
      <c r="M419" s="1" t="s">
        <v>985</v>
      </c>
      <c r="N419" s="1" t="s">
        <v>22</v>
      </c>
      <c r="O419" s="1" t="s">
        <v>2276</v>
      </c>
    </row>
    <row r="420" spans="1:15" x14ac:dyDescent="0.25">
      <c r="A420">
        <v>1442</v>
      </c>
      <c r="B420" s="1" t="s">
        <v>354</v>
      </c>
      <c r="C420" s="1" t="str">
        <f t="shared" si="6"/>
        <v>Quebec</v>
      </c>
      <c r="D420" s="1" t="s">
        <v>28</v>
      </c>
      <c r="E420" s="5">
        <v>88</v>
      </c>
      <c r="F420" s="1" t="s">
        <v>986</v>
      </c>
      <c r="G420" s="1" t="s">
        <v>55</v>
      </c>
      <c r="H420" t="s">
        <v>2270</v>
      </c>
      <c r="I420" s="1" t="s">
        <v>43</v>
      </c>
      <c r="J420" s="1" t="s">
        <v>25</v>
      </c>
      <c r="K420" s="1" t="s">
        <v>31</v>
      </c>
      <c r="L420" s="1" t="s">
        <v>91</v>
      </c>
      <c r="M420" s="1" t="s">
        <v>987</v>
      </c>
      <c r="N420" s="1" t="s">
        <v>22</v>
      </c>
      <c r="O420" s="1" t="s">
        <v>2276</v>
      </c>
    </row>
    <row r="421" spans="1:15" x14ac:dyDescent="0.25">
      <c r="A421">
        <v>1443</v>
      </c>
      <c r="B421" s="1" t="s">
        <v>354</v>
      </c>
      <c r="C421" s="1" t="str">
        <f t="shared" si="6"/>
        <v>Quebec</v>
      </c>
      <c r="D421" s="1" t="s">
        <v>28</v>
      </c>
      <c r="E421" s="5">
        <v>68</v>
      </c>
      <c r="F421" s="1" t="s">
        <v>988</v>
      </c>
      <c r="G421" s="1" t="s">
        <v>971</v>
      </c>
      <c r="H421" t="s">
        <v>2270</v>
      </c>
      <c r="I421" s="1" t="s">
        <v>40</v>
      </c>
      <c r="J421" s="1" t="s">
        <v>44</v>
      </c>
      <c r="K421" s="1" t="s">
        <v>31</v>
      </c>
      <c r="L421" s="1" t="s">
        <v>91</v>
      </c>
      <c r="M421" s="1" t="s">
        <v>989</v>
      </c>
      <c r="N421" s="1" t="s">
        <v>60</v>
      </c>
      <c r="O421" s="1" t="s">
        <v>2276</v>
      </c>
    </row>
    <row r="422" spans="1:15" x14ac:dyDescent="0.25">
      <c r="A422">
        <v>1444</v>
      </c>
      <c r="B422" s="1" t="s">
        <v>354</v>
      </c>
      <c r="C422" s="1" t="str">
        <f t="shared" si="6"/>
        <v>Quebec</v>
      </c>
      <c r="D422" s="1" t="s">
        <v>28</v>
      </c>
      <c r="E422" s="5">
        <v>50</v>
      </c>
      <c r="F422" s="1" t="s">
        <v>47</v>
      </c>
      <c r="G422" s="1" t="s">
        <v>32</v>
      </c>
      <c r="H422" t="s">
        <v>2270</v>
      </c>
      <c r="I422" s="1" t="s">
        <v>43</v>
      </c>
      <c r="J422" s="1" t="s">
        <v>25</v>
      </c>
      <c r="K422" s="1" t="s">
        <v>31</v>
      </c>
      <c r="L422" s="1" t="s">
        <v>45</v>
      </c>
      <c r="M422" s="1" t="s">
        <v>990</v>
      </c>
      <c r="N422" s="1" t="s">
        <v>22</v>
      </c>
      <c r="O422" s="1" t="s">
        <v>2276</v>
      </c>
    </row>
    <row r="423" spans="1:15" x14ac:dyDescent="0.25">
      <c r="A423">
        <v>1445</v>
      </c>
      <c r="B423" s="1" t="s">
        <v>354</v>
      </c>
      <c r="C423" s="1" t="str">
        <f t="shared" si="6"/>
        <v>Quebec</v>
      </c>
      <c r="D423" s="1" t="s">
        <v>28</v>
      </c>
      <c r="E423" s="5">
        <v>50</v>
      </c>
      <c r="F423" s="1" t="s">
        <v>47</v>
      </c>
      <c r="G423" s="1" t="s">
        <v>32</v>
      </c>
      <c r="H423" t="s">
        <v>2270</v>
      </c>
      <c r="I423" s="1" t="s">
        <v>43</v>
      </c>
      <c r="J423" s="1" t="s">
        <v>25</v>
      </c>
      <c r="K423" s="1" t="s">
        <v>31</v>
      </c>
      <c r="L423" s="1" t="s">
        <v>45</v>
      </c>
      <c r="M423" s="1" t="s">
        <v>991</v>
      </c>
      <c r="N423" s="1" t="s">
        <v>22</v>
      </c>
      <c r="O423" s="1" t="s">
        <v>2276</v>
      </c>
    </row>
    <row r="424" spans="1:15" x14ac:dyDescent="0.25">
      <c r="A424">
        <v>1446</v>
      </c>
      <c r="B424" s="1" t="s">
        <v>354</v>
      </c>
      <c r="C424" s="1" t="str">
        <f t="shared" si="6"/>
        <v>Quebec</v>
      </c>
      <c r="D424" s="1" t="s">
        <v>28</v>
      </c>
      <c r="E424" s="5">
        <v>68</v>
      </c>
      <c r="F424" s="1" t="s">
        <v>992</v>
      </c>
      <c r="G424" s="1" t="s">
        <v>32</v>
      </c>
      <c r="H424" t="s">
        <v>2270</v>
      </c>
      <c r="I424" s="1" t="s">
        <v>40</v>
      </c>
      <c r="J424" s="1" t="s">
        <v>44</v>
      </c>
      <c r="K424" s="1" t="s">
        <v>31</v>
      </c>
      <c r="L424" s="1" t="s">
        <v>91</v>
      </c>
      <c r="M424" s="1" t="s">
        <v>993</v>
      </c>
      <c r="N424" s="1" t="s">
        <v>22</v>
      </c>
      <c r="O424" s="1" t="s">
        <v>2276</v>
      </c>
    </row>
    <row r="425" spans="1:15" x14ac:dyDescent="0.25">
      <c r="A425">
        <v>1447</v>
      </c>
      <c r="B425" s="1" t="s">
        <v>354</v>
      </c>
      <c r="C425" s="1" t="str">
        <f t="shared" si="6"/>
        <v>Quebec</v>
      </c>
      <c r="D425" s="1" t="s">
        <v>28</v>
      </c>
      <c r="E425" s="5">
        <v>52</v>
      </c>
      <c r="F425" s="1" t="s">
        <v>47</v>
      </c>
      <c r="G425" s="1" t="s">
        <v>114</v>
      </c>
      <c r="H425" t="s">
        <v>2270</v>
      </c>
      <c r="I425" s="1" t="s">
        <v>43</v>
      </c>
      <c r="J425" s="1" t="s">
        <v>44</v>
      </c>
      <c r="K425" s="1" t="s">
        <v>31</v>
      </c>
      <c r="L425" s="1" t="s">
        <v>45</v>
      </c>
      <c r="M425" s="1" t="s">
        <v>994</v>
      </c>
      <c r="N425" s="1" t="s">
        <v>22</v>
      </c>
      <c r="O425" s="1" t="s">
        <v>2276</v>
      </c>
    </row>
    <row r="426" spans="1:15" x14ac:dyDescent="0.25">
      <c r="A426">
        <v>1448</v>
      </c>
      <c r="B426" s="1" t="s">
        <v>354</v>
      </c>
      <c r="C426" s="1" t="str">
        <f t="shared" si="6"/>
        <v>Quebec</v>
      </c>
      <c r="D426" s="1" t="s">
        <v>28</v>
      </c>
      <c r="E426" s="5">
        <v>48</v>
      </c>
      <c r="F426" s="1" t="s">
        <v>47</v>
      </c>
      <c r="G426" s="1" t="s">
        <v>995</v>
      </c>
      <c r="H426" t="s">
        <v>2270</v>
      </c>
      <c r="I426" s="1" t="s">
        <v>24</v>
      </c>
      <c r="J426" s="1" t="s">
        <v>25</v>
      </c>
      <c r="K426" s="1" t="s">
        <v>31</v>
      </c>
      <c r="L426" s="1" t="s">
        <v>20</v>
      </c>
      <c r="M426" s="1" t="s">
        <v>996</v>
      </c>
      <c r="N426" s="1" t="s">
        <v>22</v>
      </c>
      <c r="O426" s="1" t="s">
        <v>2276</v>
      </c>
    </row>
    <row r="427" spans="1:15" x14ac:dyDescent="0.25">
      <c r="A427">
        <v>1449</v>
      </c>
      <c r="B427" s="1" t="s">
        <v>354</v>
      </c>
      <c r="C427" s="1" t="str">
        <f t="shared" si="6"/>
        <v>Quebec</v>
      </c>
      <c r="D427" s="1" t="s">
        <v>28</v>
      </c>
      <c r="E427" s="5">
        <v>43</v>
      </c>
      <c r="F427" s="1" t="s">
        <v>47</v>
      </c>
      <c r="G427" s="1" t="s">
        <v>997</v>
      </c>
      <c r="H427" t="s">
        <v>2270</v>
      </c>
      <c r="I427" s="1" t="s">
        <v>24</v>
      </c>
      <c r="J427" s="1" t="s">
        <v>25</v>
      </c>
      <c r="K427" s="1" t="s">
        <v>31</v>
      </c>
      <c r="L427" s="1" t="s">
        <v>20</v>
      </c>
      <c r="M427" s="1" t="s">
        <v>998</v>
      </c>
      <c r="N427" s="1" t="s">
        <v>22</v>
      </c>
      <c r="O427" s="1" t="s">
        <v>2276</v>
      </c>
    </row>
    <row r="428" spans="1:15" x14ac:dyDescent="0.25">
      <c r="A428">
        <v>1450</v>
      </c>
      <c r="B428" s="1" t="s">
        <v>354</v>
      </c>
      <c r="C428" s="1" t="str">
        <f t="shared" si="6"/>
        <v>Quebec</v>
      </c>
      <c r="D428" s="1" t="s">
        <v>28</v>
      </c>
      <c r="E428" s="5">
        <v>43</v>
      </c>
      <c r="F428" s="1" t="s">
        <v>999</v>
      </c>
      <c r="G428" s="1" t="s">
        <v>1000</v>
      </c>
      <c r="H428" t="s">
        <v>2270</v>
      </c>
      <c r="I428" s="1" t="s">
        <v>24</v>
      </c>
      <c r="J428" s="1" t="s">
        <v>44</v>
      </c>
      <c r="K428" s="1" t="s">
        <v>31</v>
      </c>
      <c r="L428" s="1" t="s">
        <v>20</v>
      </c>
      <c r="M428" s="1" t="s">
        <v>1001</v>
      </c>
      <c r="N428" s="1" t="s">
        <v>22</v>
      </c>
      <c r="O428" s="1" t="s">
        <v>2276</v>
      </c>
    </row>
    <row r="429" spans="1:15" x14ac:dyDescent="0.25">
      <c r="A429">
        <v>1451</v>
      </c>
      <c r="B429" s="1" t="s">
        <v>354</v>
      </c>
      <c r="C429" s="1" t="str">
        <f t="shared" si="6"/>
        <v>Quebec</v>
      </c>
      <c r="D429" s="1" t="s">
        <v>28</v>
      </c>
      <c r="E429" s="5">
        <v>50</v>
      </c>
      <c r="F429" s="1" t="s">
        <v>1002</v>
      </c>
      <c r="G429" s="1" t="s">
        <v>16</v>
      </c>
      <c r="H429" t="s">
        <v>2270</v>
      </c>
      <c r="I429" s="1" t="s">
        <v>43</v>
      </c>
      <c r="J429" s="1" t="s">
        <v>25</v>
      </c>
      <c r="K429" s="1" t="s">
        <v>31</v>
      </c>
      <c r="L429" s="1" t="s">
        <v>32</v>
      </c>
      <c r="M429" s="1" t="s">
        <v>1003</v>
      </c>
      <c r="N429" s="1" t="s">
        <v>22</v>
      </c>
      <c r="O429" s="1" t="s">
        <v>2276</v>
      </c>
    </row>
    <row r="430" spans="1:15" x14ac:dyDescent="0.25">
      <c r="A430">
        <v>1452</v>
      </c>
      <c r="B430" s="1" t="s">
        <v>354</v>
      </c>
      <c r="C430" s="1" t="str">
        <f t="shared" si="6"/>
        <v>Quebec</v>
      </c>
      <c r="D430" s="1" t="s">
        <v>28</v>
      </c>
      <c r="E430" s="5">
        <v>46</v>
      </c>
      <c r="F430" s="1" t="s">
        <v>1004</v>
      </c>
      <c r="G430" s="1" t="s">
        <v>1005</v>
      </c>
      <c r="H430" t="s">
        <v>2270</v>
      </c>
      <c r="I430" s="1" t="s">
        <v>24</v>
      </c>
      <c r="J430" s="1" t="s">
        <v>25</v>
      </c>
      <c r="K430" s="1" t="s">
        <v>31</v>
      </c>
      <c r="L430" s="1" t="s">
        <v>20</v>
      </c>
      <c r="M430" s="1" t="s">
        <v>1006</v>
      </c>
      <c r="N430" s="1" t="s">
        <v>22</v>
      </c>
      <c r="O430" s="1" t="s">
        <v>2276</v>
      </c>
    </row>
    <row r="431" spans="1:15" x14ac:dyDescent="0.25">
      <c r="A431">
        <v>1453</v>
      </c>
      <c r="B431" s="1" t="s">
        <v>354</v>
      </c>
      <c r="C431" s="1" t="str">
        <f t="shared" si="6"/>
        <v>Quebec</v>
      </c>
      <c r="D431" s="1" t="s">
        <v>28</v>
      </c>
      <c r="E431" s="5">
        <v>50</v>
      </c>
      <c r="F431" s="1" t="s">
        <v>966</v>
      </c>
      <c r="G431" s="1" t="s">
        <v>1007</v>
      </c>
      <c r="H431" t="s">
        <v>2270</v>
      </c>
      <c r="I431" s="1" t="s">
        <v>43</v>
      </c>
      <c r="J431" s="1" t="s">
        <v>25</v>
      </c>
      <c r="K431" s="1" t="s">
        <v>31</v>
      </c>
      <c r="L431" s="1" t="s">
        <v>32</v>
      </c>
      <c r="M431" s="1" t="s">
        <v>1008</v>
      </c>
      <c r="N431" s="1" t="s">
        <v>22</v>
      </c>
      <c r="O431" s="1" t="s">
        <v>2276</v>
      </c>
    </row>
    <row r="432" spans="1:15" x14ac:dyDescent="0.25">
      <c r="A432">
        <v>1454</v>
      </c>
      <c r="B432" s="1" t="s">
        <v>354</v>
      </c>
      <c r="C432" s="1" t="str">
        <f t="shared" si="6"/>
        <v>Quebec</v>
      </c>
      <c r="D432" s="1" t="s">
        <v>28</v>
      </c>
      <c r="E432" s="5">
        <v>50</v>
      </c>
      <c r="F432" s="1" t="s">
        <v>47</v>
      </c>
      <c r="G432" s="1" t="s">
        <v>32</v>
      </c>
      <c r="H432" t="s">
        <v>2270</v>
      </c>
      <c r="I432" s="1" t="s">
        <v>43</v>
      </c>
      <c r="J432" s="1" t="s">
        <v>25</v>
      </c>
      <c r="K432" s="1" t="s">
        <v>31</v>
      </c>
      <c r="L432" s="1" t="s">
        <v>45</v>
      </c>
      <c r="M432" s="1" t="s">
        <v>1009</v>
      </c>
      <c r="N432" s="1" t="s">
        <v>22</v>
      </c>
      <c r="O432" s="1" t="s">
        <v>2276</v>
      </c>
    </row>
    <row r="433" spans="1:15" x14ac:dyDescent="0.25">
      <c r="A433">
        <v>1455</v>
      </c>
      <c r="B433" s="1" t="s">
        <v>354</v>
      </c>
      <c r="C433" s="1" t="str">
        <f t="shared" si="6"/>
        <v>Quebec</v>
      </c>
      <c r="D433" s="1" t="s">
        <v>28</v>
      </c>
      <c r="E433" s="5">
        <v>50</v>
      </c>
      <c r="F433" s="1" t="s">
        <v>47</v>
      </c>
      <c r="G433" s="1" t="s">
        <v>32</v>
      </c>
      <c r="H433" t="s">
        <v>2270</v>
      </c>
      <c r="I433" s="1" t="s">
        <v>43</v>
      </c>
      <c r="J433" s="1" t="s">
        <v>25</v>
      </c>
      <c r="K433" s="1" t="s">
        <v>31</v>
      </c>
      <c r="L433" s="1" t="s">
        <v>45</v>
      </c>
      <c r="M433" s="1" t="s">
        <v>1010</v>
      </c>
      <c r="N433" s="1" t="s">
        <v>22</v>
      </c>
      <c r="O433" s="1" t="s">
        <v>2276</v>
      </c>
    </row>
    <row r="434" spans="1:15" x14ac:dyDescent="0.25">
      <c r="A434">
        <v>1456</v>
      </c>
      <c r="B434" s="1" t="s">
        <v>354</v>
      </c>
      <c r="C434" s="1" t="str">
        <f t="shared" si="6"/>
        <v>Quebec</v>
      </c>
      <c r="D434" s="1" t="s">
        <v>28</v>
      </c>
      <c r="E434" s="5">
        <v>50</v>
      </c>
      <c r="F434" s="1" t="s">
        <v>832</v>
      </c>
      <c r="G434" s="1" t="s">
        <v>32</v>
      </c>
      <c r="H434" t="s">
        <v>2270</v>
      </c>
      <c r="I434" s="1" t="s">
        <v>43</v>
      </c>
      <c r="J434" s="1" t="s">
        <v>25</v>
      </c>
      <c r="K434" s="1" t="s">
        <v>31</v>
      </c>
      <c r="L434" s="1" t="s">
        <v>45</v>
      </c>
      <c r="M434" s="1" t="s">
        <v>1011</v>
      </c>
      <c r="N434" s="1" t="s">
        <v>60</v>
      </c>
      <c r="O434" s="1" t="s">
        <v>2276</v>
      </c>
    </row>
    <row r="435" spans="1:15" x14ac:dyDescent="0.25">
      <c r="A435">
        <v>1457</v>
      </c>
      <c r="B435" s="1" t="s">
        <v>354</v>
      </c>
      <c r="C435" s="1" t="str">
        <f t="shared" si="6"/>
        <v>Quebec</v>
      </c>
      <c r="D435" s="1" t="s">
        <v>28</v>
      </c>
      <c r="E435" s="5">
        <v>50</v>
      </c>
      <c r="F435" s="1" t="s">
        <v>47</v>
      </c>
      <c r="G435" s="1" t="s">
        <v>32</v>
      </c>
      <c r="H435" t="s">
        <v>2270</v>
      </c>
      <c r="I435" s="1" t="s">
        <v>43</v>
      </c>
      <c r="J435" s="1" t="s">
        <v>25</v>
      </c>
      <c r="K435" s="1" t="s">
        <v>31</v>
      </c>
      <c r="L435" s="1" t="s">
        <v>45</v>
      </c>
      <c r="M435" s="1" t="s">
        <v>1012</v>
      </c>
      <c r="N435" s="1" t="s">
        <v>60</v>
      </c>
      <c r="O435" s="1" t="s">
        <v>2276</v>
      </c>
    </row>
    <row r="436" spans="1:15" x14ac:dyDescent="0.25">
      <c r="A436">
        <v>1458</v>
      </c>
      <c r="B436" s="1" t="s">
        <v>354</v>
      </c>
      <c r="C436" s="1" t="str">
        <f t="shared" si="6"/>
        <v>Quebec</v>
      </c>
      <c r="D436" s="1" t="s">
        <v>28</v>
      </c>
      <c r="E436" s="5">
        <v>50</v>
      </c>
      <c r="F436" s="1" t="s">
        <v>47</v>
      </c>
      <c r="G436" s="1" t="s">
        <v>32</v>
      </c>
      <c r="H436" t="s">
        <v>2270</v>
      </c>
      <c r="I436" s="1" t="s">
        <v>43</v>
      </c>
      <c r="J436" s="1" t="s">
        <v>25</v>
      </c>
      <c r="K436" s="1" t="s">
        <v>31</v>
      </c>
      <c r="L436" s="1" t="s">
        <v>45</v>
      </c>
      <c r="M436" s="1" t="s">
        <v>1013</v>
      </c>
      <c r="N436" s="1" t="s">
        <v>22</v>
      </c>
      <c r="O436" s="1" t="s">
        <v>2276</v>
      </c>
    </row>
    <row r="437" spans="1:15" x14ac:dyDescent="0.25">
      <c r="A437">
        <v>1459</v>
      </c>
      <c r="B437" s="1" t="s">
        <v>354</v>
      </c>
      <c r="C437" s="1" t="str">
        <f t="shared" si="6"/>
        <v>Quebec</v>
      </c>
      <c r="D437" s="1" t="s">
        <v>28</v>
      </c>
      <c r="E437" s="5">
        <v>43</v>
      </c>
      <c r="F437" s="1" t="s">
        <v>47</v>
      </c>
      <c r="G437" s="1" t="s">
        <v>1000</v>
      </c>
      <c r="H437" t="s">
        <v>2270</v>
      </c>
      <c r="I437" s="1" t="s">
        <v>24</v>
      </c>
      <c r="J437" s="1" t="s">
        <v>25</v>
      </c>
      <c r="K437" s="1" t="s">
        <v>31</v>
      </c>
      <c r="L437" s="1" t="s">
        <v>32</v>
      </c>
      <c r="M437" s="1" t="s">
        <v>1014</v>
      </c>
      <c r="N437" s="1" t="s">
        <v>22</v>
      </c>
      <c r="O437" s="1" t="s">
        <v>2276</v>
      </c>
    </row>
    <row r="438" spans="1:15" x14ac:dyDescent="0.25">
      <c r="A438">
        <v>1460</v>
      </c>
      <c r="B438" s="1" t="s">
        <v>354</v>
      </c>
      <c r="C438" s="1" t="str">
        <f t="shared" si="6"/>
        <v>Quebec</v>
      </c>
      <c r="D438" s="1" t="s">
        <v>28</v>
      </c>
      <c r="E438" s="5">
        <v>50</v>
      </c>
      <c r="F438" s="1" t="s">
        <v>1015</v>
      </c>
      <c r="G438" s="1" t="s">
        <v>32</v>
      </c>
      <c r="H438" t="s">
        <v>2270</v>
      </c>
      <c r="I438" s="1" t="s">
        <v>24</v>
      </c>
      <c r="J438" s="1" t="s">
        <v>44</v>
      </c>
      <c r="K438" s="1" t="s">
        <v>31</v>
      </c>
      <c r="L438" s="1" t="s">
        <v>20</v>
      </c>
      <c r="M438" s="1" t="s">
        <v>1016</v>
      </c>
      <c r="N438" s="1" t="s">
        <v>22</v>
      </c>
      <c r="O438" s="1" t="s">
        <v>2276</v>
      </c>
    </row>
    <row r="439" spans="1:15" x14ac:dyDescent="0.25">
      <c r="A439">
        <v>1461</v>
      </c>
      <c r="B439" s="1" t="s">
        <v>354</v>
      </c>
      <c r="C439" s="1" t="str">
        <f t="shared" si="6"/>
        <v>Quebec</v>
      </c>
      <c r="D439" s="1" t="s">
        <v>28</v>
      </c>
      <c r="E439" s="5">
        <v>56</v>
      </c>
      <c r="F439" s="1" t="s">
        <v>1017</v>
      </c>
      <c r="G439" s="1" t="s">
        <v>114</v>
      </c>
      <c r="H439" t="s">
        <v>2270</v>
      </c>
      <c r="I439" s="1" t="s">
        <v>40</v>
      </c>
      <c r="J439" s="1" t="s">
        <v>25</v>
      </c>
      <c r="K439" s="1" t="s">
        <v>31</v>
      </c>
      <c r="L439" s="1" t="s">
        <v>91</v>
      </c>
      <c r="M439" s="1" t="s">
        <v>1018</v>
      </c>
      <c r="N439" s="1" t="s">
        <v>22</v>
      </c>
      <c r="O439" s="1" t="s">
        <v>2276</v>
      </c>
    </row>
    <row r="440" spans="1:15" x14ac:dyDescent="0.25">
      <c r="A440">
        <v>1462</v>
      </c>
      <c r="B440" s="1" t="s">
        <v>354</v>
      </c>
      <c r="C440" s="1" t="str">
        <f t="shared" si="6"/>
        <v>Quebec</v>
      </c>
      <c r="D440" s="1" t="s">
        <v>28</v>
      </c>
      <c r="E440" s="5">
        <v>68</v>
      </c>
      <c r="F440" s="1" t="s">
        <v>1019</v>
      </c>
      <c r="G440" s="1" t="s">
        <v>1020</v>
      </c>
      <c r="H440" t="s">
        <v>2270</v>
      </c>
      <c r="I440" s="1" t="s">
        <v>43</v>
      </c>
      <c r="J440" s="1" t="s">
        <v>44</v>
      </c>
      <c r="K440" s="1" t="s">
        <v>32</v>
      </c>
      <c r="L440" s="1" t="s">
        <v>32</v>
      </c>
      <c r="M440" s="1" t="s">
        <v>1021</v>
      </c>
      <c r="N440" s="1" t="s">
        <v>22</v>
      </c>
      <c r="O440" s="1" t="s">
        <v>2276</v>
      </c>
    </row>
    <row r="441" spans="1:15" x14ac:dyDescent="0.25">
      <c r="A441">
        <v>1463</v>
      </c>
      <c r="B441" s="1" t="s">
        <v>354</v>
      </c>
      <c r="C441" s="1" t="str">
        <f t="shared" si="6"/>
        <v>Quebec</v>
      </c>
      <c r="D441" s="1" t="s">
        <v>28</v>
      </c>
      <c r="E441" s="5">
        <v>74</v>
      </c>
      <c r="F441" s="1" t="s">
        <v>32</v>
      </c>
      <c r="G441" s="1" t="s">
        <v>55</v>
      </c>
      <c r="H441" t="s">
        <v>2270</v>
      </c>
      <c r="I441" s="1" t="s">
        <v>43</v>
      </c>
      <c r="J441" s="1" t="s">
        <v>25</v>
      </c>
      <c r="K441" s="1" t="s">
        <v>31</v>
      </c>
      <c r="L441" s="1" t="s">
        <v>91</v>
      </c>
      <c r="M441" s="1" t="s">
        <v>1022</v>
      </c>
      <c r="N441" s="1" t="s">
        <v>22</v>
      </c>
      <c r="O441" s="1" t="s">
        <v>2276</v>
      </c>
    </row>
    <row r="442" spans="1:15" x14ac:dyDescent="0.25">
      <c r="A442">
        <v>1464</v>
      </c>
      <c r="B442" s="1" t="s">
        <v>354</v>
      </c>
      <c r="C442" s="1" t="str">
        <f t="shared" si="6"/>
        <v>Quebec</v>
      </c>
      <c r="D442" s="1" t="s">
        <v>28</v>
      </c>
      <c r="E442" s="5">
        <v>60</v>
      </c>
      <c r="F442" s="1" t="s">
        <v>32</v>
      </c>
      <c r="G442" s="1" t="s">
        <v>40</v>
      </c>
      <c r="H442" t="s">
        <v>2270</v>
      </c>
      <c r="I442" s="1" t="s">
        <v>43</v>
      </c>
      <c r="J442" s="1" t="s">
        <v>25</v>
      </c>
      <c r="K442" s="1" t="s">
        <v>31</v>
      </c>
      <c r="L442" s="1" t="s">
        <v>91</v>
      </c>
      <c r="M442" s="1" t="s">
        <v>1023</v>
      </c>
      <c r="N442" s="1" t="s">
        <v>22</v>
      </c>
      <c r="O442" s="1" t="s">
        <v>2276</v>
      </c>
    </row>
    <row r="443" spans="1:15" x14ac:dyDescent="0.25">
      <c r="A443">
        <v>1465</v>
      </c>
      <c r="B443" s="1" t="s">
        <v>354</v>
      </c>
      <c r="C443" s="1" t="str">
        <f t="shared" si="6"/>
        <v>Quebec</v>
      </c>
      <c r="D443" s="1" t="s">
        <v>73</v>
      </c>
      <c r="E443" s="5">
        <v>55</v>
      </c>
      <c r="F443" s="1" t="s">
        <v>1024</v>
      </c>
      <c r="G443" s="1" t="s">
        <v>32</v>
      </c>
      <c r="H443" t="s">
        <v>2270</v>
      </c>
      <c r="I443" s="1" t="s">
        <v>43</v>
      </c>
      <c r="J443" s="1" t="s">
        <v>25</v>
      </c>
      <c r="K443" s="1" t="s">
        <v>31</v>
      </c>
      <c r="L443" s="1" t="s">
        <v>20</v>
      </c>
      <c r="M443" s="1" t="s">
        <v>1025</v>
      </c>
      <c r="N443" s="1" t="s">
        <v>22</v>
      </c>
      <c r="O443" s="1" t="s">
        <v>2276</v>
      </c>
    </row>
    <row r="444" spans="1:15" x14ac:dyDescent="0.25">
      <c r="A444">
        <v>1466</v>
      </c>
      <c r="B444" s="1" t="s">
        <v>354</v>
      </c>
      <c r="C444" s="1" t="str">
        <f t="shared" si="6"/>
        <v>Quebec</v>
      </c>
      <c r="D444" s="1" t="s">
        <v>73</v>
      </c>
      <c r="E444" s="5">
        <v>50</v>
      </c>
      <c r="F444" s="1" t="s">
        <v>1026</v>
      </c>
      <c r="G444" s="1" t="s">
        <v>1027</v>
      </c>
      <c r="H444" t="s">
        <v>2270</v>
      </c>
      <c r="I444" s="1" t="s">
        <v>24</v>
      </c>
      <c r="J444" s="1" t="s">
        <v>25</v>
      </c>
      <c r="K444" s="1" t="s">
        <v>31</v>
      </c>
      <c r="L444" s="1" t="s">
        <v>20</v>
      </c>
      <c r="M444" s="1" t="s">
        <v>1028</v>
      </c>
      <c r="N444" s="1" t="s">
        <v>22</v>
      </c>
      <c r="O444" s="1" t="s">
        <v>2276</v>
      </c>
    </row>
    <row r="445" spans="1:15" x14ac:dyDescent="0.25">
      <c r="A445">
        <v>1467</v>
      </c>
      <c r="B445" s="1" t="s">
        <v>354</v>
      </c>
      <c r="C445" s="1" t="str">
        <f t="shared" si="6"/>
        <v>Quebec</v>
      </c>
      <c r="D445" s="1" t="s">
        <v>73</v>
      </c>
      <c r="E445" s="5">
        <v>54</v>
      </c>
      <c r="F445" s="1" t="s">
        <v>1029</v>
      </c>
      <c r="G445" s="1" t="s">
        <v>1030</v>
      </c>
      <c r="H445" t="s">
        <v>2270</v>
      </c>
      <c r="I445" s="1" t="s">
        <v>43</v>
      </c>
      <c r="J445" s="1" t="s">
        <v>25</v>
      </c>
      <c r="K445" s="1" t="s">
        <v>31</v>
      </c>
      <c r="L445" s="1" t="s">
        <v>45</v>
      </c>
      <c r="M445" s="1" t="s">
        <v>1031</v>
      </c>
      <c r="N445" s="1" t="s">
        <v>22</v>
      </c>
      <c r="O445" s="1" t="s">
        <v>2276</v>
      </c>
    </row>
    <row r="446" spans="1:15" x14ac:dyDescent="0.25">
      <c r="A446">
        <v>1468</v>
      </c>
      <c r="B446" s="1" t="s">
        <v>354</v>
      </c>
      <c r="C446" s="1" t="str">
        <f t="shared" si="6"/>
        <v>Quebec</v>
      </c>
      <c r="D446" s="1" t="s">
        <v>73</v>
      </c>
      <c r="E446" s="5">
        <v>50</v>
      </c>
      <c r="F446" s="1" t="s">
        <v>47</v>
      </c>
      <c r="G446" s="1" t="s">
        <v>32</v>
      </c>
      <c r="H446" t="s">
        <v>2270</v>
      </c>
      <c r="I446" s="1" t="s">
        <v>24</v>
      </c>
      <c r="J446" s="1" t="s">
        <v>25</v>
      </c>
      <c r="K446" s="1" t="s">
        <v>31</v>
      </c>
      <c r="L446" s="1" t="s">
        <v>20</v>
      </c>
      <c r="M446" s="1" t="s">
        <v>1032</v>
      </c>
      <c r="N446" s="1" t="s">
        <v>22</v>
      </c>
      <c r="O446" s="1" t="s">
        <v>2276</v>
      </c>
    </row>
    <row r="447" spans="1:15" x14ac:dyDescent="0.25">
      <c r="A447">
        <v>1469</v>
      </c>
      <c r="B447" s="1" t="s">
        <v>354</v>
      </c>
      <c r="C447" s="1" t="str">
        <f t="shared" si="6"/>
        <v>Quebec</v>
      </c>
      <c r="D447" s="1" t="s">
        <v>73</v>
      </c>
      <c r="E447" s="5">
        <v>55</v>
      </c>
      <c r="F447" s="1" t="s">
        <v>1033</v>
      </c>
      <c r="G447" s="1" t="s">
        <v>32</v>
      </c>
      <c r="H447" t="s">
        <v>2270</v>
      </c>
      <c r="I447" s="1" t="s">
        <v>43</v>
      </c>
      <c r="J447" s="1" t="s">
        <v>25</v>
      </c>
      <c r="K447" s="1" t="s">
        <v>31</v>
      </c>
      <c r="L447" s="1" t="s">
        <v>20</v>
      </c>
      <c r="M447" s="1" t="s">
        <v>1034</v>
      </c>
      <c r="N447" s="1" t="s">
        <v>22</v>
      </c>
      <c r="O447" s="1" t="s">
        <v>2276</v>
      </c>
    </row>
    <row r="448" spans="1:15" x14ac:dyDescent="0.25">
      <c r="A448">
        <v>1470</v>
      </c>
      <c r="B448" s="1" t="s">
        <v>354</v>
      </c>
      <c r="C448" s="1" t="str">
        <f t="shared" si="6"/>
        <v>Quebec</v>
      </c>
      <c r="D448" s="1" t="s">
        <v>73</v>
      </c>
      <c r="E448" s="5">
        <v>45</v>
      </c>
      <c r="F448" s="1" t="s">
        <v>1035</v>
      </c>
      <c r="G448" s="1" t="s">
        <v>1036</v>
      </c>
      <c r="H448" t="s">
        <v>2270</v>
      </c>
      <c r="I448" s="1" t="s">
        <v>24</v>
      </c>
      <c r="J448" s="1" t="s">
        <v>25</v>
      </c>
      <c r="K448" s="1" t="s">
        <v>31</v>
      </c>
      <c r="L448" s="1" t="s">
        <v>20</v>
      </c>
      <c r="M448" s="1" t="s">
        <v>1037</v>
      </c>
      <c r="N448" s="1" t="s">
        <v>22</v>
      </c>
      <c r="O448" s="1" t="s">
        <v>2276</v>
      </c>
    </row>
    <row r="449" spans="1:15" x14ac:dyDescent="0.25">
      <c r="A449">
        <v>1471</v>
      </c>
      <c r="B449" s="1" t="s">
        <v>354</v>
      </c>
      <c r="C449" s="1" t="str">
        <f t="shared" si="6"/>
        <v>Quebec</v>
      </c>
      <c r="D449" s="1" t="s">
        <v>73</v>
      </c>
      <c r="E449" s="5">
        <v>48</v>
      </c>
      <c r="F449" s="1" t="s">
        <v>32</v>
      </c>
      <c r="G449" s="1" t="s">
        <v>1038</v>
      </c>
      <c r="H449" t="s">
        <v>2270</v>
      </c>
      <c r="I449" s="1" t="s">
        <v>17</v>
      </c>
      <c r="J449" s="1" t="s">
        <v>25</v>
      </c>
      <c r="K449" s="1" t="s">
        <v>31</v>
      </c>
      <c r="L449" s="1" t="s">
        <v>20</v>
      </c>
      <c r="M449" s="1" t="s">
        <v>1039</v>
      </c>
      <c r="N449" s="1" t="s">
        <v>22</v>
      </c>
      <c r="O449" s="1" t="s">
        <v>2276</v>
      </c>
    </row>
    <row r="450" spans="1:15" x14ac:dyDescent="0.25">
      <c r="A450">
        <v>1472</v>
      </c>
      <c r="B450" s="1" t="s">
        <v>354</v>
      </c>
      <c r="C450" s="1" t="str">
        <f t="shared" ref="C450:C513" si="7">IF(B450="NB","New Brunswick",IF(B450="AB","Alberta",IF(B450="BC","British Columbia",IF(B450="MB","Manitoba",IF(B450="NL","Newfoundland and Labrador",IF(B450="NS","Nova Scotia",IF(B450="ON","Ontario",IF(B450="PE","Prince Edward Island",IF(B450="QC","Quebec",IF(B450="SK","Saskatchewan",""))))))))))</f>
        <v>Quebec</v>
      </c>
      <c r="D450" s="1" t="s">
        <v>73</v>
      </c>
      <c r="E450" s="5">
        <v>55</v>
      </c>
      <c r="F450" s="1" t="s">
        <v>1040</v>
      </c>
      <c r="G450" s="1" t="s">
        <v>32</v>
      </c>
      <c r="H450" t="s">
        <v>2270</v>
      </c>
      <c r="I450" s="1" t="s">
        <v>43</v>
      </c>
      <c r="J450" s="1" t="s">
        <v>25</v>
      </c>
      <c r="K450" s="1" t="s">
        <v>31</v>
      </c>
      <c r="L450" s="1" t="s">
        <v>20</v>
      </c>
      <c r="M450" s="1" t="s">
        <v>1041</v>
      </c>
      <c r="N450" s="1" t="s">
        <v>22</v>
      </c>
      <c r="O450" s="1" t="s">
        <v>2276</v>
      </c>
    </row>
    <row r="451" spans="1:15" x14ac:dyDescent="0.25">
      <c r="A451">
        <v>1473</v>
      </c>
      <c r="B451" s="1" t="s">
        <v>354</v>
      </c>
      <c r="C451" s="1" t="str">
        <f t="shared" si="7"/>
        <v>Quebec</v>
      </c>
      <c r="D451" s="1" t="s">
        <v>73</v>
      </c>
      <c r="E451" s="5">
        <v>52</v>
      </c>
      <c r="F451" s="1" t="s">
        <v>1042</v>
      </c>
      <c r="G451" s="1" t="s">
        <v>1043</v>
      </c>
      <c r="H451" t="s">
        <v>2270</v>
      </c>
      <c r="I451" s="1" t="s">
        <v>40</v>
      </c>
      <c r="J451" s="1" t="s">
        <v>232</v>
      </c>
      <c r="K451" s="1" t="s">
        <v>31</v>
      </c>
      <c r="L451" s="1" t="s">
        <v>32</v>
      </c>
      <c r="M451" s="1" t="s">
        <v>1044</v>
      </c>
      <c r="N451" s="1" t="s">
        <v>60</v>
      </c>
      <c r="O451" s="1" t="s">
        <v>2276</v>
      </c>
    </row>
    <row r="452" spans="1:15" x14ac:dyDescent="0.25">
      <c r="A452">
        <v>1474</v>
      </c>
      <c r="B452" s="1" t="s">
        <v>354</v>
      </c>
      <c r="C452" s="1" t="str">
        <f t="shared" si="7"/>
        <v>Quebec</v>
      </c>
      <c r="D452" s="1" t="s">
        <v>14</v>
      </c>
      <c r="E452" s="5">
        <v>50</v>
      </c>
      <c r="F452" s="1" t="s">
        <v>1045</v>
      </c>
      <c r="G452" s="1" t="s">
        <v>32</v>
      </c>
      <c r="H452" t="s">
        <v>2270</v>
      </c>
      <c r="I452" s="1" t="s">
        <v>24</v>
      </c>
      <c r="J452" s="1" t="s">
        <v>25</v>
      </c>
      <c r="K452" s="1" t="s">
        <v>31</v>
      </c>
      <c r="L452" s="1" t="s">
        <v>32</v>
      </c>
      <c r="M452" s="1" t="s">
        <v>1046</v>
      </c>
      <c r="N452" s="1" t="s">
        <v>60</v>
      </c>
      <c r="O452" s="1" t="s">
        <v>2276</v>
      </c>
    </row>
    <row r="453" spans="1:15" x14ac:dyDescent="0.25">
      <c r="A453">
        <v>1475</v>
      </c>
      <c r="B453" s="1" t="s">
        <v>354</v>
      </c>
      <c r="C453" s="1" t="str">
        <f t="shared" si="7"/>
        <v>Quebec</v>
      </c>
      <c r="D453" s="1" t="s">
        <v>14</v>
      </c>
      <c r="E453" s="5">
        <v>46</v>
      </c>
      <c r="F453" s="1" t="s">
        <v>912</v>
      </c>
      <c r="G453" s="1" t="s">
        <v>1047</v>
      </c>
      <c r="H453" t="s">
        <v>2270</v>
      </c>
      <c r="I453" s="1" t="s">
        <v>24</v>
      </c>
      <c r="J453" s="1" t="s">
        <v>25</v>
      </c>
      <c r="K453" s="1" t="s">
        <v>31</v>
      </c>
      <c r="L453" s="1" t="s">
        <v>20</v>
      </c>
      <c r="M453" s="1" t="s">
        <v>1048</v>
      </c>
      <c r="N453" s="1" t="s">
        <v>22</v>
      </c>
      <c r="O453" s="1" t="s">
        <v>2276</v>
      </c>
    </row>
    <row r="454" spans="1:15" x14ac:dyDescent="0.25">
      <c r="A454">
        <v>1476</v>
      </c>
      <c r="B454" s="1" t="s">
        <v>354</v>
      </c>
      <c r="C454" s="1" t="str">
        <f t="shared" si="7"/>
        <v>Quebec</v>
      </c>
      <c r="D454" s="1" t="s">
        <v>14</v>
      </c>
      <c r="E454" s="5">
        <v>50</v>
      </c>
      <c r="F454" s="1" t="s">
        <v>1049</v>
      </c>
      <c r="G454" s="1" t="s">
        <v>1050</v>
      </c>
      <c r="H454" t="s">
        <v>2270</v>
      </c>
      <c r="I454" s="1" t="s">
        <v>24</v>
      </c>
      <c r="J454" s="1" t="s">
        <v>25</v>
      </c>
      <c r="K454" s="1" t="s">
        <v>31</v>
      </c>
      <c r="L454" s="1" t="s">
        <v>32</v>
      </c>
      <c r="M454" s="1" t="s">
        <v>1051</v>
      </c>
      <c r="N454" s="1" t="s">
        <v>22</v>
      </c>
      <c r="O454" s="1" t="s">
        <v>2276</v>
      </c>
    </row>
    <row r="455" spans="1:15" x14ac:dyDescent="0.25">
      <c r="A455">
        <v>1477</v>
      </c>
      <c r="B455" s="1" t="s">
        <v>354</v>
      </c>
      <c r="C455" s="1" t="str">
        <f t="shared" si="7"/>
        <v>Quebec</v>
      </c>
      <c r="D455" s="1" t="s">
        <v>14</v>
      </c>
      <c r="E455" s="5">
        <v>50</v>
      </c>
      <c r="F455" s="1" t="s">
        <v>912</v>
      </c>
      <c r="G455" s="1" t="s">
        <v>1052</v>
      </c>
      <c r="H455" t="s">
        <v>2270</v>
      </c>
      <c r="I455" s="1" t="s">
        <v>24</v>
      </c>
      <c r="J455" s="1" t="s">
        <v>25</v>
      </c>
      <c r="K455" s="1" t="s">
        <v>31</v>
      </c>
      <c r="L455" s="1" t="s">
        <v>20</v>
      </c>
      <c r="M455" s="1" t="s">
        <v>1053</v>
      </c>
      <c r="N455" s="1" t="s">
        <v>60</v>
      </c>
      <c r="O455" s="1" t="s">
        <v>2276</v>
      </c>
    </row>
    <row r="456" spans="1:15" x14ac:dyDescent="0.25">
      <c r="A456">
        <v>1478</v>
      </c>
      <c r="B456" s="1" t="s">
        <v>354</v>
      </c>
      <c r="C456" s="1" t="str">
        <f t="shared" si="7"/>
        <v>Quebec</v>
      </c>
      <c r="D456" s="1" t="s">
        <v>73</v>
      </c>
      <c r="E456" s="5">
        <v>50</v>
      </c>
      <c r="F456" s="1" t="s">
        <v>47</v>
      </c>
      <c r="G456" s="1" t="s">
        <v>1054</v>
      </c>
      <c r="H456" t="s">
        <v>2270</v>
      </c>
      <c r="I456" s="1" t="s">
        <v>43</v>
      </c>
      <c r="J456" s="1" t="s">
        <v>25</v>
      </c>
      <c r="K456" s="1" t="s">
        <v>107</v>
      </c>
      <c r="L456" s="1" t="s">
        <v>45</v>
      </c>
      <c r="M456" s="1" t="s">
        <v>1055</v>
      </c>
      <c r="N456" s="1" t="s">
        <v>22</v>
      </c>
      <c r="O456" s="1" t="s">
        <v>2276</v>
      </c>
    </row>
    <row r="457" spans="1:15" x14ac:dyDescent="0.25">
      <c r="A457">
        <v>1479</v>
      </c>
      <c r="B457" s="1" t="s">
        <v>354</v>
      </c>
      <c r="C457" s="1" t="str">
        <f t="shared" si="7"/>
        <v>Quebec</v>
      </c>
      <c r="D457" s="1" t="s">
        <v>73</v>
      </c>
      <c r="E457" s="5">
        <v>50</v>
      </c>
      <c r="F457" s="1" t="s">
        <v>514</v>
      </c>
      <c r="G457" s="1" t="s">
        <v>114</v>
      </c>
      <c r="H457" t="s">
        <v>2270</v>
      </c>
      <c r="I457" s="1" t="s">
        <v>43</v>
      </c>
      <c r="J457" s="1" t="s">
        <v>25</v>
      </c>
      <c r="K457" s="1" t="s">
        <v>107</v>
      </c>
      <c r="L457" s="1" t="s">
        <v>20</v>
      </c>
      <c r="M457" s="1" t="s">
        <v>1056</v>
      </c>
      <c r="N457" s="1" t="s">
        <v>22</v>
      </c>
      <c r="O457" s="1" t="s">
        <v>2276</v>
      </c>
    </row>
    <row r="458" spans="1:15" x14ac:dyDescent="0.25">
      <c r="A458">
        <v>1480</v>
      </c>
      <c r="B458" s="1" t="s">
        <v>354</v>
      </c>
      <c r="C458" s="1" t="str">
        <f t="shared" si="7"/>
        <v>Quebec</v>
      </c>
      <c r="D458" s="1" t="s">
        <v>73</v>
      </c>
      <c r="E458" s="5">
        <v>44</v>
      </c>
      <c r="F458" s="1" t="s">
        <v>1057</v>
      </c>
      <c r="G458" s="1" t="s">
        <v>32</v>
      </c>
      <c r="H458" t="s">
        <v>2270</v>
      </c>
      <c r="I458" s="1" t="s">
        <v>24</v>
      </c>
      <c r="J458" s="1" t="s">
        <v>25</v>
      </c>
      <c r="K458" s="1" t="s">
        <v>107</v>
      </c>
      <c r="L458" s="1" t="s">
        <v>45</v>
      </c>
      <c r="M458" s="1" t="s">
        <v>1058</v>
      </c>
      <c r="N458" s="1" t="s">
        <v>22</v>
      </c>
      <c r="O458" s="1" t="s">
        <v>2276</v>
      </c>
    </row>
    <row r="459" spans="1:15" x14ac:dyDescent="0.25">
      <c r="A459">
        <v>1481</v>
      </c>
      <c r="B459" s="1" t="s">
        <v>354</v>
      </c>
      <c r="C459" s="1" t="str">
        <f t="shared" si="7"/>
        <v>Quebec</v>
      </c>
      <c r="D459" s="1" t="s">
        <v>73</v>
      </c>
      <c r="E459" s="5">
        <v>50</v>
      </c>
      <c r="F459" s="1" t="s">
        <v>1059</v>
      </c>
      <c r="G459" s="1" t="s">
        <v>32</v>
      </c>
      <c r="H459" t="s">
        <v>2270</v>
      </c>
      <c r="I459" s="1" t="s">
        <v>43</v>
      </c>
      <c r="J459" s="1" t="s">
        <v>25</v>
      </c>
      <c r="K459" s="1" t="s">
        <v>107</v>
      </c>
      <c r="L459" s="1" t="s">
        <v>20</v>
      </c>
      <c r="M459" s="1" t="s">
        <v>1060</v>
      </c>
      <c r="N459" s="1" t="s">
        <v>22</v>
      </c>
      <c r="O459" s="1" t="s">
        <v>2276</v>
      </c>
    </row>
    <row r="460" spans="1:15" x14ac:dyDescent="0.25">
      <c r="A460">
        <v>1482</v>
      </c>
      <c r="B460" s="1" t="s">
        <v>354</v>
      </c>
      <c r="C460" s="1" t="str">
        <f t="shared" si="7"/>
        <v>Quebec</v>
      </c>
      <c r="D460" s="1" t="s">
        <v>73</v>
      </c>
      <c r="E460" s="5">
        <v>55</v>
      </c>
      <c r="F460" s="1" t="s">
        <v>1061</v>
      </c>
      <c r="G460" s="1" t="s">
        <v>1062</v>
      </c>
      <c r="H460" t="s">
        <v>2270</v>
      </c>
      <c r="I460" s="1" t="s">
        <v>24</v>
      </c>
      <c r="J460" s="1" t="s">
        <v>44</v>
      </c>
      <c r="K460" s="1" t="s">
        <v>31</v>
      </c>
      <c r="L460" s="1" t="s">
        <v>91</v>
      </c>
      <c r="M460" s="1" t="s">
        <v>1063</v>
      </c>
      <c r="N460" s="1" t="s">
        <v>22</v>
      </c>
      <c r="O460" s="1" t="s">
        <v>2276</v>
      </c>
    </row>
    <row r="461" spans="1:15" x14ac:dyDescent="0.25">
      <c r="A461">
        <v>1483</v>
      </c>
      <c r="B461" s="1" t="s">
        <v>354</v>
      </c>
      <c r="C461" s="1" t="str">
        <f t="shared" si="7"/>
        <v>Quebec</v>
      </c>
      <c r="D461" s="1" t="s">
        <v>73</v>
      </c>
      <c r="E461" s="5">
        <v>39</v>
      </c>
      <c r="F461" s="1" t="s">
        <v>912</v>
      </c>
      <c r="G461" s="1" t="s">
        <v>1064</v>
      </c>
      <c r="H461" t="s">
        <v>2270</v>
      </c>
      <c r="I461" s="1" t="s">
        <v>64</v>
      </c>
      <c r="J461" s="1" t="s">
        <v>18</v>
      </c>
      <c r="K461" s="1" t="s">
        <v>31</v>
      </c>
      <c r="L461" s="1" t="s">
        <v>32</v>
      </c>
      <c r="M461" s="1" t="s">
        <v>1065</v>
      </c>
      <c r="N461" s="1" t="s">
        <v>22</v>
      </c>
      <c r="O461" s="1" t="s">
        <v>2276</v>
      </c>
    </row>
    <row r="462" spans="1:15" x14ac:dyDescent="0.25">
      <c r="A462">
        <v>1484</v>
      </c>
      <c r="B462" s="1" t="s">
        <v>354</v>
      </c>
      <c r="C462" s="1" t="str">
        <f t="shared" si="7"/>
        <v>Quebec</v>
      </c>
      <c r="D462" s="1" t="s">
        <v>73</v>
      </c>
      <c r="E462" s="5">
        <v>60</v>
      </c>
      <c r="F462" s="1" t="s">
        <v>1066</v>
      </c>
      <c r="G462" s="1" t="s">
        <v>1067</v>
      </c>
      <c r="H462" t="s">
        <v>2270</v>
      </c>
      <c r="I462" s="1" t="s">
        <v>43</v>
      </c>
      <c r="J462" s="1" t="s">
        <v>44</v>
      </c>
      <c r="K462" s="1" t="s">
        <v>31</v>
      </c>
      <c r="L462" s="1" t="s">
        <v>45</v>
      </c>
      <c r="M462" s="1" t="s">
        <v>1068</v>
      </c>
      <c r="N462" s="1" t="s">
        <v>22</v>
      </c>
      <c r="O462" s="1" t="s">
        <v>2276</v>
      </c>
    </row>
    <row r="463" spans="1:15" x14ac:dyDescent="0.25">
      <c r="A463">
        <v>1485</v>
      </c>
      <c r="B463" s="1" t="s">
        <v>354</v>
      </c>
      <c r="C463" s="1" t="str">
        <f t="shared" si="7"/>
        <v>Quebec</v>
      </c>
      <c r="D463" s="1" t="s">
        <v>73</v>
      </c>
      <c r="E463" s="5">
        <v>60</v>
      </c>
      <c r="F463" s="1" t="s">
        <v>1069</v>
      </c>
      <c r="G463" s="1" t="s">
        <v>1070</v>
      </c>
      <c r="H463" t="s">
        <v>2270</v>
      </c>
      <c r="I463" s="1" t="s">
        <v>43</v>
      </c>
      <c r="J463" s="1" t="s">
        <v>44</v>
      </c>
      <c r="K463" s="1" t="s">
        <v>31</v>
      </c>
      <c r="L463" s="1" t="s">
        <v>45</v>
      </c>
      <c r="M463" s="1" t="s">
        <v>1071</v>
      </c>
      <c r="N463" s="1" t="s">
        <v>22</v>
      </c>
      <c r="O463" s="1" t="s">
        <v>2276</v>
      </c>
    </row>
    <row r="464" spans="1:15" x14ac:dyDescent="0.25">
      <c r="A464">
        <v>1486</v>
      </c>
      <c r="B464" s="1" t="s">
        <v>354</v>
      </c>
      <c r="C464" s="1" t="str">
        <f t="shared" si="7"/>
        <v>Quebec</v>
      </c>
      <c r="D464" s="1" t="s">
        <v>73</v>
      </c>
      <c r="E464" s="5">
        <v>60</v>
      </c>
      <c r="F464" s="1" t="s">
        <v>1072</v>
      </c>
      <c r="G464" s="1" t="s">
        <v>1073</v>
      </c>
      <c r="H464" t="s">
        <v>2270</v>
      </c>
      <c r="I464" s="1" t="s">
        <v>40</v>
      </c>
      <c r="J464" s="1" t="s">
        <v>44</v>
      </c>
      <c r="K464" s="1" t="s">
        <v>31</v>
      </c>
      <c r="L464" s="1" t="s">
        <v>91</v>
      </c>
      <c r="M464" s="1" t="s">
        <v>1074</v>
      </c>
      <c r="N464" s="1" t="s">
        <v>22</v>
      </c>
      <c r="O464" s="1" t="s">
        <v>2276</v>
      </c>
    </row>
    <row r="465" spans="1:15" x14ac:dyDescent="0.25">
      <c r="A465">
        <v>1487</v>
      </c>
      <c r="B465" s="1" t="s">
        <v>354</v>
      </c>
      <c r="C465" s="1" t="str">
        <f t="shared" si="7"/>
        <v>Quebec</v>
      </c>
      <c r="D465" s="1" t="s">
        <v>73</v>
      </c>
      <c r="E465" s="5">
        <v>42</v>
      </c>
      <c r="F465" s="1" t="s">
        <v>47</v>
      </c>
      <c r="G465" s="1" t="s">
        <v>1075</v>
      </c>
      <c r="H465" t="s">
        <v>2270</v>
      </c>
      <c r="I465" s="1" t="s">
        <v>17</v>
      </c>
      <c r="J465" s="1" t="s">
        <v>44</v>
      </c>
      <c r="K465" s="1" t="s">
        <v>31</v>
      </c>
      <c r="L465" s="1" t="s">
        <v>91</v>
      </c>
      <c r="M465" s="1" t="s">
        <v>1076</v>
      </c>
      <c r="N465" s="1" t="s">
        <v>22</v>
      </c>
      <c r="O465" s="1" t="s">
        <v>2276</v>
      </c>
    </row>
    <row r="466" spans="1:15" x14ac:dyDescent="0.25">
      <c r="A466">
        <v>1488</v>
      </c>
      <c r="B466" s="1" t="s">
        <v>354</v>
      </c>
      <c r="C466" s="1" t="str">
        <f t="shared" si="7"/>
        <v>Quebec</v>
      </c>
      <c r="D466" s="1" t="s">
        <v>73</v>
      </c>
      <c r="E466" s="5">
        <v>55</v>
      </c>
      <c r="F466" s="1" t="s">
        <v>1077</v>
      </c>
      <c r="G466" s="1" t="s">
        <v>1078</v>
      </c>
      <c r="H466" t="s">
        <v>2270</v>
      </c>
      <c r="I466" s="1" t="s">
        <v>43</v>
      </c>
      <c r="J466" s="1" t="s">
        <v>44</v>
      </c>
      <c r="K466" s="1" t="s">
        <v>31</v>
      </c>
      <c r="L466" s="1" t="s">
        <v>20</v>
      </c>
      <c r="M466" s="1" t="s">
        <v>1079</v>
      </c>
      <c r="N466" s="1" t="s">
        <v>22</v>
      </c>
      <c r="O466" s="1" t="s">
        <v>2276</v>
      </c>
    </row>
    <row r="467" spans="1:15" x14ac:dyDescent="0.25">
      <c r="A467">
        <v>1489</v>
      </c>
      <c r="B467" s="1" t="s">
        <v>354</v>
      </c>
      <c r="C467" s="1" t="str">
        <f t="shared" si="7"/>
        <v>Quebec</v>
      </c>
      <c r="D467" s="1" t="s">
        <v>73</v>
      </c>
      <c r="E467" s="5">
        <v>50</v>
      </c>
      <c r="F467" s="1" t="s">
        <v>1080</v>
      </c>
      <c r="G467" s="1" t="s">
        <v>1081</v>
      </c>
      <c r="H467" t="s">
        <v>2270</v>
      </c>
      <c r="I467" s="1" t="s">
        <v>43</v>
      </c>
      <c r="J467" s="1" t="s">
        <v>25</v>
      </c>
      <c r="K467" s="1" t="s">
        <v>31</v>
      </c>
      <c r="L467" s="1" t="s">
        <v>32</v>
      </c>
      <c r="M467" s="1" t="s">
        <v>1082</v>
      </c>
      <c r="N467" s="1" t="s">
        <v>22</v>
      </c>
      <c r="O467" s="1" t="s">
        <v>2276</v>
      </c>
    </row>
    <row r="468" spans="1:15" x14ac:dyDescent="0.25">
      <c r="A468">
        <v>1490</v>
      </c>
      <c r="B468" s="1" t="s">
        <v>354</v>
      </c>
      <c r="C468" s="1" t="str">
        <f t="shared" si="7"/>
        <v>Quebec</v>
      </c>
      <c r="D468" s="1" t="s">
        <v>73</v>
      </c>
      <c r="E468" s="5">
        <v>50</v>
      </c>
      <c r="F468" s="1" t="s">
        <v>616</v>
      </c>
      <c r="G468" s="1" t="s">
        <v>1083</v>
      </c>
      <c r="H468" t="s">
        <v>2270</v>
      </c>
      <c r="I468" s="1" t="s">
        <v>43</v>
      </c>
      <c r="J468" s="1" t="s">
        <v>232</v>
      </c>
      <c r="K468" s="1" t="s">
        <v>31</v>
      </c>
      <c r="L468" s="1" t="s">
        <v>45</v>
      </c>
      <c r="M468" s="1" t="s">
        <v>1084</v>
      </c>
      <c r="N468" s="1" t="s">
        <v>22</v>
      </c>
      <c r="O468" s="1" t="s">
        <v>2276</v>
      </c>
    </row>
    <row r="469" spans="1:15" x14ac:dyDescent="0.25">
      <c r="A469">
        <v>1491</v>
      </c>
      <c r="B469" s="1" t="s">
        <v>354</v>
      </c>
      <c r="C469" s="1" t="str">
        <f t="shared" si="7"/>
        <v>Quebec</v>
      </c>
      <c r="D469" s="1" t="s">
        <v>73</v>
      </c>
      <c r="E469" s="5">
        <v>50</v>
      </c>
      <c r="F469" s="1" t="s">
        <v>1085</v>
      </c>
      <c r="G469" s="1" t="s">
        <v>867</v>
      </c>
      <c r="H469" t="s">
        <v>2270</v>
      </c>
      <c r="I469" s="1" t="s">
        <v>24</v>
      </c>
      <c r="J469" s="1" t="s">
        <v>25</v>
      </c>
      <c r="K469" s="1" t="s">
        <v>31</v>
      </c>
      <c r="L469" s="1" t="s">
        <v>32</v>
      </c>
      <c r="M469" s="1" t="s">
        <v>1086</v>
      </c>
      <c r="N469" s="1" t="s">
        <v>22</v>
      </c>
      <c r="O469" s="1" t="s">
        <v>2276</v>
      </c>
    </row>
    <row r="470" spans="1:15" x14ac:dyDescent="0.25">
      <c r="A470">
        <v>1492</v>
      </c>
      <c r="B470" s="1" t="s">
        <v>354</v>
      </c>
      <c r="C470" s="1" t="str">
        <f t="shared" si="7"/>
        <v>Quebec</v>
      </c>
      <c r="D470" s="1" t="s">
        <v>73</v>
      </c>
      <c r="E470" s="5">
        <v>47.06</v>
      </c>
      <c r="F470" s="1" t="s">
        <v>1087</v>
      </c>
      <c r="G470" s="1" t="s">
        <v>32</v>
      </c>
      <c r="H470" t="s">
        <v>2270</v>
      </c>
      <c r="I470" s="1" t="s">
        <v>43</v>
      </c>
      <c r="J470" s="1" t="s">
        <v>25</v>
      </c>
      <c r="K470" s="1" t="s">
        <v>31</v>
      </c>
      <c r="L470" s="1" t="s">
        <v>20</v>
      </c>
      <c r="M470" s="1" t="s">
        <v>1088</v>
      </c>
      <c r="N470" s="1" t="s">
        <v>22</v>
      </c>
      <c r="O470" s="1" t="s">
        <v>2276</v>
      </c>
    </row>
    <row r="471" spans="1:15" x14ac:dyDescent="0.25">
      <c r="A471">
        <v>1493</v>
      </c>
      <c r="B471" s="1" t="s">
        <v>354</v>
      </c>
      <c r="C471" s="1" t="str">
        <f t="shared" si="7"/>
        <v>Quebec</v>
      </c>
      <c r="D471" s="1" t="s">
        <v>73</v>
      </c>
      <c r="E471" s="5">
        <v>48</v>
      </c>
      <c r="F471" s="1" t="s">
        <v>1089</v>
      </c>
      <c r="G471" s="1" t="s">
        <v>843</v>
      </c>
      <c r="H471" t="s">
        <v>2270</v>
      </c>
      <c r="I471" s="1" t="s">
        <v>24</v>
      </c>
      <c r="J471" s="1" t="s">
        <v>25</v>
      </c>
      <c r="K471" s="1" t="s">
        <v>31</v>
      </c>
      <c r="L471" s="1" t="s">
        <v>20</v>
      </c>
      <c r="M471" s="1" t="s">
        <v>1090</v>
      </c>
      <c r="N471" s="1" t="s">
        <v>22</v>
      </c>
      <c r="O471" s="1" t="s">
        <v>2276</v>
      </c>
    </row>
    <row r="472" spans="1:15" x14ac:dyDescent="0.25">
      <c r="A472">
        <v>1494</v>
      </c>
      <c r="B472" s="1" t="s">
        <v>354</v>
      </c>
      <c r="C472" s="1" t="str">
        <f t="shared" si="7"/>
        <v>Quebec</v>
      </c>
      <c r="D472" s="1" t="s">
        <v>73</v>
      </c>
      <c r="E472" s="5">
        <v>48</v>
      </c>
      <c r="F472" s="1" t="s">
        <v>1091</v>
      </c>
      <c r="G472" s="1" t="s">
        <v>843</v>
      </c>
      <c r="H472" t="s">
        <v>2270</v>
      </c>
      <c r="I472" s="1" t="s">
        <v>24</v>
      </c>
      <c r="J472" s="1" t="s">
        <v>25</v>
      </c>
      <c r="K472" s="1" t="s">
        <v>31</v>
      </c>
      <c r="L472" s="1" t="s">
        <v>20</v>
      </c>
      <c r="M472" s="1" t="s">
        <v>1092</v>
      </c>
      <c r="N472" s="1" t="s">
        <v>22</v>
      </c>
      <c r="O472" s="1" t="s">
        <v>2276</v>
      </c>
    </row>
    <row r="473" spans="1:15" x14ac:dyDescent="0.25">
      <c r="A473">
        <v>1495</v>
      </c>
      <c r="B473" s="1" t="s">
        <v>354</v>
      </c>
      <c r="C473" s="1" t="str">
        <f t="shared" si="7"/>
        <v>Quebec</v>
      </c>
      <c r="D473" s="1" t="s">
        <v>73</v>
      </c>
      <c r="E473" s="5">
        <v>48</v>
      </c>
      <c r="F473" s="1" t="s">
        <v>1093</v>
      </c>
      <c r="G473" s="1" t="s">
        <v>843</v>
      </c>
      <c r="H473" t="s">
        <v>2270</v>
      </c>
      <c r="I473" s="1" t="s">
        <v>24</v>
      </c>
      <c r="J473" s="1" t="s">
        <v>25</v>
      </c>
      <c r="K473" s="1" t="s">
        <v>31</v>
      </c>
      <c r="L473" s="1" t="s">
        <v>20</v>
      </c>
      <c r="M473" s="1" t="s">
        <v>1094</v>
      </c>
      <c r="N473" s="1" t="s">
        <v>22</v>
      </c>
      <c r="O473" s="1" t="s">
        <v>2276</v>
      </c>
    </row>
    <row r="474" spans="1:15" x14ac:dyDescent="0.25">
      <c r="A474">
        <v>1496</v>
      </c>
      <c r="B474" s="1" t="s">
        <v>354</v>
      </c>
      <c r="C474" s="1" t="str">
        <f t="shared" si="7"/>
        <v>Quebec</v>
      </c>
      <c r="D474" s="1" t="s">
        <v>73</v>
      </c>
      <c r="E474" s="5">
        <v>50</v>
      </c>
      <c r="F474" s="1" t="s">
        <v>514</v>
      </c>
      <c r="G474" s="1" t="s">
        <v>32</v>
      </c>
      <c r="H474" t="s">
        <v>2270</v>
      </c>
      <c r="I474" s="1" t="s">
        <v>43</v>
      </c>
      <c r="J474" s="1" t="s">
        <v>44</v>
      </c>
      <c r="K474" s="1" t="s">
        <v>31</v>
      </c>
      <c r="L474" s="1" t="s">
        <v>20</v>
      </c>
      <c r="M474" s="1" t="s">
        <v>1095</v>
      </c>
      <c r="N474" s="1" t="s">
        <v>22</v>
      </c>
      <c r="O474" s="1" t="s">
        <v>2276</v>
      </c>
    </row>
    <row r="475" spans="1:15" x14ac:dyDescent="0.25">
      <c r="A475">
        <v>1497</v>
      </c>
      <c r="B475" s="1" t="s">
        <v>354</v>
      </c>
      <c r="C475" s="1" t="str">
        <f t="shared" si="7"/>
        <v>Quebec</v>
      </c>
      <c r="D475" s="1" t="s">
        <v>73</v>
      </c>
      <c r="E475" s="5">
        <v>48</v>
      </c>
      <c r="F475" s="1" t="s">
        <v>1096</v>
      </c>
      <c r="G475" s="1" t="s">
        <v>1097</v>
      </c>
      <c r="H475" t="s">
        <v>2270</v>
      </c>
      <c r="I475" s="1" t="s">
        <v>24</v>
      </c>
      <c r="J475" s="1" t="s">
        <v>25</v>
      </c>
      <c r="K475" s="1" t="s">
        <v>31</v>
      </c>
      <c r="L475" s="1" t="s">
        <v>20</v>
      </c>
      <c r="M475" s="1" t="s">
        <v>1098</v>
      </c>
      <c r="N475" s="1" t="s">
        <v>22</v>
      </c>
      <c r="O475" s="1" t="s">
        <v>2276</v>
      </c>
    </row>
    <row r="476" spans="1:15" x14ac:dyDescent="0.25">
      <c r="A476">
        <v>1498</v>
      </c>
      <c r="B476" s="1" t="s">
        <v>354</v>
      </c>
      <c r="C476" s="1" t="str">
        <f t="shared" si="7"/>
        <v>Quebec</v>
      </c>
      <c r="D476" s="1" t="s">
        <v>73</v>
      </c>
      <c r="E476" s="5">
        <v>50</v>
      </c>
      <c r="F476" s="1" t="s">
        <v>1099</v>
      </c>
      <c r="G476" s="1" t="s">
        <v>1100</v>
      </c>
      <c r="H476" t="s">
        <v>2270</v>
      </c>
      <c r="I476" s="1" t="s">
        <v>24</v>
      </c>
      <c r="J476" s="1" t="s">
        <v>25</v>
      </c>
      <c r="K476" s="1" t="s">
        <v>31</v>
      </c>
      <c r="L476" s="1" t="s">
        <v>20</v>
      </c>
      <c r="M476" s="1" t="s">
        <v>1101</v>
      </c>
      <c r="N476" s="1" t="s">
        <v>22</v>
      </c>
      <c r="O476" s="1" t="s">
        <v>2276</v>
      </c>
    </row>
    <row r="477" spans="1:15" x14ac:dyDescent="0.25">
      <c r="A477">
        <v>1499</v>
      </c>
      <c r="B477" s="1" t="s">
        <v>354</v>
      </c>
      <c r="C477" s="1" t="str">
        <f t="shared" si="7"/>
        <v>Quebec</v>
      </c>
      <c r="D477" s="1" t="s">
        <v>73</v>
      </c>
      <c r="E477" s="5">
        <v>50</v>
      </c>
      <c r="F477" s="1" t="s">
        <v>1102</v>
      </c>
      <c r="G477" s="1" t="s">
        <v>32</v>
      </c>
      <c r="H477" t="s">
        <v>2270</v>
      </c>
      <c r="I477" s="1" t="s">
        <v>24</v>
      </c>
      <c r="J477" s="1" t="s">
        <v>25</v>
      </c>
      <c r="K477" s="1" t="s">
        <v>31</v>
      </c>
      <c r="L477" s="1" t="s">
        <v>32</v>
      </c>
      <c r="M477" s="1" t="s">
        <v>1103</v>
      </c>
      <c r="N477" s="1" t="s">
        <v>22</v>
      </c>
      <c r="O477" s="1" t="s">
        <v>2276</v>
      </c>
    </row>
    <row r="478" spans="1:15" x14ac:dyDescent="0.25">
      <c r="A478">
        <v>1500</v>
      </c>
      <c r="B478" s="1" t="s">
        <v>354</v>
      </c>
      <c r="C478" s="1" t="str">
        <f t="shared" si="7"/>
        <v>Quebec</v>
      </c>
      <c r="D478" s="1" t="s">
        <v>73</v>
      </c>
      <c r="E478" s="5">
        <v>50</v>
      </c>
      <c r="F478" s="1" t="s">
        <v>1087</v>
      </c>
      <c r="G478" s="1" t="s">
        <v>32</v>
      </c>
      <c r="H478" t="s">
        <v>2270</v>
      </c>
      <c r="I478" s="1" t="s">
        <v>43</v>
      </c>
      <c r="J478" s="1" t="s">
        <v>25</v>
      </c>
      <c r="K478" s="1" t="s">
        <v>31</v>
      </c>
      <c r="L478" s="1" t="s">
        <v>20</v>
      </c>
      <c r="M478" s="1" t="s">
        <v>1104</v>
      </c>
      <c r="N478" s="1" t="s">
        <v>22</v>
      </c>
      <c r="O478" s="1" t="s">
        <v>2276</v>
      </c>
    </row>
    <row r="479" spans="1:15" x14ac:dyDescent="0.25">
      <c r="A479">
        <v>1501</v>
      </c>
      <c r="B479" s="1" t="s">
        <v>354</v>
      </c>
      <c r="C479" s="1" t="str">
        <f t="shared" si="7"/>
        <v>Quebec</v>
      </c>
      <c r="D479" s="1" t="s">
        <v>73</v>
      </c>
      <c r="E479" s="5">
        <v>40</v>
      </c>
      <c r="F479" s="1" t="s">
        <v>1105</v>
      </c>
      <c r="G479" s="1" t="s">
        <v>1106</v>
      </c>
      <c r="H479" t="s">
        <v>2270</v>
      </c>
      <c r="I479" s="1" t="s">
        <v>17</v>
      </c>
      <c r="J479" s="1" t="s">
        <v>25</v>
      </c>
      <c r="K479" s="1" t="s">
        <v>31</v>
      </c>
      <c r="L479" s="1" t="s">
        <v>20</v>
      </c>
      <c r="M479" s="1" t="s">
        <v>1107</v>
      </c>
      <c r="N479" s="1" t="s">
        <v>22</v>
      </c>
      <c r="O479" s="1" t="s">
        <v>2276</v>
      </c>
    </row>
    <row r="480" spans="1:15" x14ac:dyDescent="0.25">
      <c r="A480">
        <v>1502</v>
      </c>
      <c r="B480" s="1" t="s">
        <v>354</v>
      </c>
      <c r="C480" s="1" t="str">
        <f t="shared" si="7"/>
        <v>Quebec</v>
      </c>
      <c r="D480" s="1" t="s">
        <v>73</v>
      </c>
      <c r="E480" s="5">
        <v>48</v>
      </c>
      <c r="F480" s="1" t="s">
        <v>1085</v>
      </c>
      <c r="G480" s="1" t="s">
        <v>1108</v>
      </c>
      <c r="H480" t="s">
        <v>2270</v>
      </c>
      <c r="I480" s="1" t="s">
        <v>24</v>
      </c>
      <c r="J480" s="1" t="s">
        <v>25</v>
      </c>
      <c r="K480" s="1" t="s">
        <v>31</v>
      </c>
      <c r="L480" s="1" t="s">
        <v>32</v>
      </c>
      <c r="M480" s="1" t="s">
        <v>1109</v>
      </c>
      <c r="N480" s="1" t="s">
        <v>22</v>
      </c>
      <c r="O480" s="1" t="s">
        <v>2276</v>
      </c>
    </row>
    <row r="481" spans="1:15" x14ac:dyDescent="0.25">
      <c r="A481">
        <v>1503</v>
      </c>
      <c r="B481" s="1" t="s">
        <v>354</v>
      </c>
      <c r="C481" s="1" t="str">
        <f t="shared" si="7"/>
        <v>Quebec</v>
      </c>
      <c r="D481" s="1" t="s">
        <v>73</v>
      </c>
      <c r="E481" s="5">
        <v>50</v>
      </c>
      <c r="F481" s="1" t="s">
        <v>1110</v>
      </c>
      <c r="G481" s="1" t="s">
        <v>846</v>
      </c>
      <c r="H481" t="s">
        <v>2270</v>
      </c>
      <c r="I481" s="1" t="s">
        <v>24</v>
      </c>
      <c r="J481" s="1" t="s">
        <v>25</v>
      </c>
      <c r="K481" s="1" t="s">
        <v>31</v>
      </c>
      <c r="L481" s="1" t="s">
        <v>20</v>
      </c>
      <c r="M481" s="1" t="s">
        <v>1111</v>
      </c>
      <c r="N481" s="1" t="s">
        <v>22</v>
      </c>
      <c r="O481" s="1" t="s">
        <v>2276</v>
      </c>
    </row>
    <row r="482" spans="1:15" x14ac:dyDescent="0.25">
      <c r="A482">
        <v>1504</v>
      </c>
      <c r="B482" s="1" t="s">
        <v>354</v>
      </c>
      <c r="C482" s="1" t="str">
        <f t="shared" si="7"/>
        <v>Quebec</v>
      </c>
      <c r="D482" s="1" t="s">
        <v>73</v>
      </c>
      <c r="E482" s="5">
        <v>50</v>
      </c>
      <c r="F482" s="1" t="s">
        <v>47</v>
      </c>
      <c r="G482" s="1" t="s">
        <v>32</v>
      </c>
      <c r="H482" t="s">
        <v>2270</v>
      </c>
      <c r="I482" s="1" t="s">
        <v>24</v>
      </c>
      <c r="J482" s="1" t="s">
        <v>25</v>
      </c>
      <c r="K482" s="1" t="s">
        <v>31</v>
      </c>
      <c r="L482" s="1" t="s">
        <v>91</v>
      </c>
      <c r="M482" s="1" t="s">
        <v>1112</v>
      </c>
      <c r="N482" s="1" t="s">
        <v>22</v>
      </c>
      <c r="O482" s="1" t="s">
        <v>2276</v>
      </c>
    </row>
    <row r="483" spans="1:15" x14ac:dyDescent="0.25">
      <c r="A483">
        <v>1505</v>
      </c>
      <c r="B483" s="1" t="s">
        <v>354</v>
      </c>
      <c r="C483" s="1" t="str">
        <f t="shared" si="7"/>
        <v>Quebec</v>
      </c>
      <c r="D483" s="1" t="s">
        <v>73</v>
      </c>
      <c r="E483" s="5">
        <v>48</v>
      </c>
      <c r="F483" s="1" t="s">
        <v>1089</v>
      </c>
      <c r="G483" s="1" t="s">
        <v>843</v>
      </c>
      <c r="H483" t="s">
        <v>2270</v>
      </c>
      <c r="I483" s="1" t="s">
        <v>24</v>
      </c>
      <c r="J483" s="1" t="s">
        <v>25</v>
      </c>
      <c r="K483" s="1" t="s">
        <v>31</v>
      </c>
      <c r="L483" s="1" t="s">
        <v>20</v>
      </c>
      <c r="M483" s="1" t="s">
        <v>1113</v>
      </c>
      <c r="N483" s="1" t="s">
        <v>22</v>
      </c>
      <c r="O483" s="1" t="s">
        <v>2276</v>
      </c>
    </row>
    <row r="484" spans="1:15" x14ac:dyDescent="0.25">
      <c r="A484">
        <v>1506</v>
      </c>
      <c r="B484" s="1" t="s">
        <v>354</v>
      </c>
      <c r="C484" s="1" t="str">
        <f t="shared" si="7"/>
        <v>Quebec</v>
      </c>
      <c r="D484" s="1" t="s">
        <v>73</v>
      </c>
      <c r="E484" s="5">
        <v>48</v>
      </c>
      <c r="F484" s="1" t="s">
        <v>736</v>
      </c>
      <c r="G484" s="1" t="s">
        <v>846</v>
      </c>
      <c r="H484" t="s">
        <v>2270</v>
      </c>
      <c r="I484" s="1" t="s">
        <v>24</v>
      </c>
      <c r="J484" s="1" t="s">
        <v>25</v>
      </c>
      <c r="K484" s="1" t="s">
        <v>31</v>
      </c>
      <c r="L484" s="1" t="s">
        <v>20</v>
      </c>
      <c r="M484" s="1" t="s">
        <v>1114</v>
      </c>
      <c r="N484" s="1" t="s">
        <v>22</v>
      </c>
      <c r="O484" s="1" t="s">
        <v>2276</v>
      </c>
    </row>
    <row r="485" spans="1:15" x14ac:dyDescent="0.25">
      <c r="A485">
        <v>1507</v>
      </c>
      <c r="B485" s="1" t="s">
        <v>354</v>
      </c>
      <c r="C485" s="1" t="str">
        <f t="shared" si="7"/>
        <v>Quebec</v>
      </c>
      <c r="D485" s="1" t="s">
        <v>73</v>
      </c>
      <c r="E485" s="5">
        <v>50</v>
      </c>
      <c r="F485" s="1" t="s">
        <v>1115</v>
      </c>
      <c r="G485" s="1" t="s">
        <v>867</v>
      </c>
      <c r="H485" t="s">
        <v>2270</v>
      </c>
      <c r="I485" s="1" t="s">
        <v>24</v>
      </c>
      <c r="J485" s="1" t="s">
        <v>25</v>
      </c>
      <c r="K485" s="1" t="s">
        <v>31</v>
      </c>
      <c r="L485" s="1" t="s">
        <v>32</v>
      </c>
      <c r="M485" s="1" t="s">
        <v>1116</v>
      </c>
      <c r="N485" s="1" t="s">
        <v>22</v>
      </c>
      <c r="O485" s="1" t="s">
        <v>2276</v>
      </c>
    </row>
    <row r="486" spans="1:15" x14ac:dyDescent="0.25">
      <c r="A486">
        <v>1508</v>
      </c>
      <c r="B486" s="1" t="s">
        <v>354</v>
      </c>
      <c r="C486" s="1" t="str">
        <f t="shared" si="7"/>
        <v>Quebec</v>
      </c>
      <c r="D486" s="1" t="s">
        <v>73</v>
      </c>
      <c r="E486" s="5">
        <v>44</v>
      </c>
      <c r="F486" s="1" t="s">
        <v>1117</v>
      </c>
      <c r="G486" s="1" t="s">
        <v>1118</v>
      </c>
      <c r="H486" t="s">
        <v>2270</v>
      </c>
      <c r="I486" s="1" t="s">
        <v>24</v>
      </c>
      <c r="J486" s="1" t="s">
        <v>25</v>
      </c>
      <c r="K486" s="1" t="s">
        <v>31</v>
      </c>
      <c r="L486" s="1" t="s">
        <v>20</v>
      </c>
      <c r="M486" s="1" t="s">
        <v>1119</v>
      </c>
      <c r="N486" s="1" t="s">
        <v>22</v>
      </c>
      <c r="O486" s="1" t="s">
        <v>2276</v>
      </c>
    </row>
    <row r="487" spans="1:15" x14ac:dyDescent="0.25">
      <c r="A487">
        <v>1509</v>
      </c>
      <c r="B487" s="1" t="s">
        <v>354</v>
      </c>
      <c r="C487" s="1" t="str">
        <f t="shared" si="7"/>
        <v>Quebec</v>
      </c>
      <c r="D487" s="1" t="s">
        <v>73</v>
      </c>
      <c r="E487" s="5">
        <v>47</v>
      </c>
      <c r="F487" s="1" t="s">
        <v>1120</v>
      </c>
      <c r="G487" s="1" t="s">
        <v>1121</v>
      </c>
      <c r="H487" t="s">
        <v>2270</v>
      </c>
      <c r="I487" s="1" t="s">
        <v>24</v>
      </c>
      <c r="J487" s="1" t="s">
        <v>25</v>
      </c>
      <c r="K487" s="1" t="s">
        <v>19</v>
      </c>
      <c r="L487" s="1" t="s">
        <v>20</v>
      </c>
      <c r="M487" s="1" t="s">
        <v>1122</v>
      </c>
      <c r="N487" s="1" t="s">
        <v>22</v>
      </c>
      <c r="O487" s="1" t="s">
        <v>2276</v>
      </c>
    </row>
    <row r="488" spans="1:15" x14ac:dyDescent="0.25">
      <c r="A488">
        <v>1510</v>
      </c>
      <c r="B488" s="1" t="s">
        <v>354</v>
      </c>
      <c r="C488" s="1" t="str">
        <f t="shared" si="7"/>
        <v>Quebec</v>
      </c>
      <c r="D488" s="1" t="s">
        <v>73</v>
      </c>
      <c r="E488" s="5">
        <v>48</v>
      </c>
      <c r="F488" s="1" t="s">
        <v>47</v>
      </c>
      <c r="G488" s="1" t="s">
        <v>1123</v>
      </c>
      <c r="H488" t="s">
        <v>2270</v>
      </c>
      <c r="I488" s="1" t="s">
        <v>24</v>
      </c>
      <c r="J488" s="1" t="s">
        <v>44</v>
      </c>
      <c r="K488" s="1" t="s">
        <v>31</v>
      </c>
      <c r="L488" s="1" t="s">
        <v>20</v>
      </c>
      <c r="M488" s="1" t="s">
        <v>1124</v>
      </c>
      <c r="N488" s="1" t="s">
        <v>22</v>
      </c>
      <c r="O488" s="1" t="s">
        <v>2276</v>
      </c>
    </row>
    <row r="489" spans="1:15" x14ac:dyDescent="0.25">
      <c r="A489">
        <v>1511</v>
      </c>
      <c r="B489" s="1" t="s">
        <v>354</v>
      </c>
      <c r="C489" s="1" t="str">
        <f t="shared" si="7"/>
        <v>Quebec</v>
      </c>
      <c r="D489" s="1" t="s">
        <v>73</v>
      </c>
      <c r="E489" s="5">
        <v>31</v>
      </c>
      <c r="F489" s="1" t="s">
        <v>1125</v>
      </c>
      <c r="G489" s="1" t="s">
        <v>32</v>
      </c>
      <c r="H489" t="s">
        <v>2271</v>
      </c>
      <c r="I489" s="1" t="s">
        <v>17</v>
      </c>
      <c r="J489" s="1" t="s">
        <v>25</v>
      </c>
      <c r="K489" s="1" t="s">
        <v>19</v>
      </c>
      <c r="L489" s="1" t="s">
        <v>32</v>
      </c>
      <c r="M489" s="1" t="s">
        <v>1126</v>
      </c>
      <c r="N489" s="1" t="s">
        <v>60</v>
      </c>
      <c r="O489" s="1" t="s">
        <v>2276</v>
      </c>
    </row>
    <row r="490" spans="1:15" x14ac:dyDescent="0.25">
      <c r="A490">
        <v>1512</v>
      </c>
      <c r="B490" s="1" t="s">
        <v>354</v>
      </c>
      <c r="C490" s="1" t="str">
        <f t="shared" si="7"/>
        <v>Quebec</v>
      </c>
      <c r="D490" s="1" t="s">
        <v>73</v>
      </c>
      <c r="E490" s="5">
        <v>44</v>
      </c>
      <c r="F490" s="1" t="s">
        <v>1127</v>
      </c>
      <c r="G490" s="1" t="s">
        <v>1128</v>
      </c>
      <c r="H490" t="s">
        <v>2271</v>
      </c>
      <c r="I490" s="1" t="s">
        <v>24</v>
      </c>
      <c r="J490" s="1" t="s">
        <v>25</v>
      </c>
      <c r="K490" s="1" t="s">
        <v>19</v>
      </c>
      <c r="L490" s="1" t="s">
        <v>20</v>
      </c>
      <c r="M490" s="1" t="s">
        <v>1129</v>
      </c>
      <c r="N490" s="1" t="s">
        <v>60</v>
      </c>
      <c r="O490" s="1" t="s">
        <v>2276</v>
      </c>
    </row>
    <row r="491" spans="1:15" x14ac:dyDescent="0.25">
      <c r="A491">
        <v>1513</v>
      </c>
      <c r="B491" s="1" t="s">
        <v>354</v>
      </c>
      <c r="C491" s="1" t="str">
        <f t="shared" si="7"/>
        <v>Quebec</v>
      </c>
      <c r="D491" s="1" t="s">
        <v>73</v>
      </c>
      <c r="E491" s="5">
        <v>29</v>
      </c>
      <c r="F491" s="1" t="s">
        <v>1130</v>
      </c>
      <c r="G491" s="1" t="s">
        <v>1131</v>
      </c>
      <c r="H491" t="s">
        <v>2271</v>
      </c>
      <c r="I491" s="1" t="s">
        <v>17</v>
      </c>
      <c r="J491" s="1" t="s">
        <v>25</v>
      </c>
      <c r="K491" s="1" t="s">
        <v>19</v>
      </c>
      <c r="L491" s="1" t="s">
        <v>32</v>
      </c>
      <c r="M491" s="1" t="s">
        <v>1132</v>
      </c>
      <c r="N491" s="1" t="s">
        <v>60</v>
      </c>
      <c r="O491" s="1" t="s">
        <v>2276</v>
      </c>
    </row>
    <row r="492" spans="1:15" x14ac:dyDescent="0.25">
      <c r="A492">
        <v>1514</v>
      </c>
      <c r="B492" s="1" t="s">
        <v>354</v>
      </c>
      <c r="C492" s="1" t="str">
        <f t="shared" si="7"/>
        <v>Quebec</v>
      </c>
      <c r="D492" s="1" t="s">
        <v>14</v>
      </c>
      <c r="E492" s="5">
        <v>43</v>
      </c>
      <c r="F492" s="1" t="s">
        <v>1133</v>
      </c>
      <c r="G492" s="1" t="s">
        <v>1134</v>
      </c>
      <c r="H492" t="s">
        <v>2270</v>
      </c>
      <c r="I492" s="1" t="s">
        <v>24</v>
      </c>
      <c r="J492" s="1" t="s">
        <v>25</v>
      </c>
      <c r="K492" s="1" t="s">
        <v>107</v>
      </c>
      <c r="L492" s="1" t="s">
        <v>32</v>
      </c>
      <c r="M492" s="1" t="s">
        <v>1135</v>
      </c>
      <c r="N492" s="1" t="s">
        <v>60</v>
      </c>
      <c r="O492" s="1" t="s">
        <v>2276</v>
      </c>
    </row>
    <row r="493" spans="1:15" x14ac:dyDescent="0.25">
      <c r="A493">
        <v>1515</v>
      </c>
      <c r="B493" s="1" t="s">
        <v>354</v>
      </c>
      <c r="C493" s="1" t="str">
        <f t="shared" si="7"/>
        <v>Quebec</v>
      </c>
      <c r="D493" s="1" t="s">
        <v>14</v>
      </c>
      <c r="E493" s="5">
        <v>48</v>
      </c>
      <c r="F493" s="1" t="s">
        <v>1136</v>
      </c>
      <c r="G493" s="1" t="s">
        <v>1123</v>
      </c>
      <c r="H493" t="s">
        <v>2270</v>
      </c>
      <c r="I493" s="1" t="s">
        <v>43</v>
      </c>
      <c r="J493" s="1" t="s">
        <v>25</v>
      </c>
      <c r="K493" s="1" t="s">
        <v>107</v>
      </c>
      <c r="L493" s="1" t="s">
        <v>20</v>
      </c>
      <c r="M493" s="1" t="s">
        <v>1137</v>
      </c>
      <c r="N493" s="1" t="s">
        <v>22</v>
      </c>
      <c r="O493" s="1" t="s">
        <v>2276</v>
      </c>
    </row>
    <row r="494" spans="1:15" x14ac:dyDescent="0.25">
      <c r="A494">
        <v>1517</v>
      </c>
      <c r="B494" s="1" t="s">
        <v>354</v>
      </c>
      <c r="C494" s="1" t="str">
        <f t="shared" si="7"/>
        <v>Quebec</v>
      </c>
      <c r="D494" s="1" t="s">
        <v>28</v>
      </c>
      <c r="E494" s="5">
        <v>39</v>
      </c>
      <c r="F494" s="1" t="s">
        <v>401</v>
      </c>
      <c r="G494" s="1" t="s">
        <v>395</v>
      </c>
      <c r="H494" t="s">
        <v>2270</v>
      </c>
      <c r="I494" s="1" t="s">
        <v>17</v>
      </c>
      <c r="J494" s="1" t="s">
        <v>25</v>
      </c>
      <c r="K494" s="1" t="s">
        <v>31</v>
      </c>
      <c r="L494" s="1" t="s">
        <v>91</v>
      </c>
      <c r="M494" s="1" t="s">
        <v>1138</v>
      </c>
      <c r="N494" s="1" t="s">
        <v>60</v>
      </c>
      <c r="O494" s="1" t="s">
        <v>2276</v>
      </c>
    </row>
    <row r="495" spans="1:15" x14ac:dyDescent="0.25">
      <c r="A495">
        <v>1518</v>
      </c>
      <c r="B495" s="1" t="s">
        <v>354</v>
      </c>
      <c r="C495" s="1" t="str">
        <f t="shared" si="7"/>
        <v>Quebec</v>
      </c>
      <c r="D495" s="1" t="s">
        <v>28</v>
      </c>
      <c r="E495" s="5">
        <v>39</v>
      </c>
      <c r="F495" s="1" t="s">
        <v>401</v>
      </c>
      <c r="G495" s="1" t="s">
        <v>395</v>
      </c>
      <c r="H495" t="s">
        <v>2270</v>
      </c>
      <c r="I495" s="1" t="s">
        <v>17</v>
      </c>
      <c r="J495" s="1" t="s">
        <v>25</v>
      </c>
      <c r="K495" s="1" t="s">
        <v>31</v>
      </c>
      <c r="L495" s="1" t="s">
        <v>91</v>
      </c>
      <c r="M495" s="1" t="s">
        <v>1139</v>
      </c>
      <c r="N495" s="1" t="s">
        <v>60</v>
      </c>
      <c r="O495" s="1" t="s">
        <v>2276</v>
      </c>
    </row>
    <row r="496" spans="1:15" x14ac:dyDescent="0.25">
      <c r="A496">
        <v>1519</v>
      </c>
      <c r="B496" s="1" t="s">
        <v>354</v>
      </c>
      <c r="C496" s="1" t="str">
        <f t="shared" si="7"/>
        <v>Quebec</v>
      </c>
      <c r="D496" s="1" t="s">
        <v>28</v>
      </c>
      <c r="E496" s="5">
        <v>39</v>
      </c>
      <c r="F496" s="1" t="s">
        <v>401</v>
      </c>
      <c r="G496" s="1" t="s">
        <v>395</v>
      </c>
      <c r="H496" t="s">
        <v>2270</v>
      </c>
      <c r="I496" s="1" t="s">
        <v>17</v>
      </c>
      <c r="J496" s="1" t="s">
        <v>25</v>
      </c>
      <c r="K496" s="1" t="s">
        <v>31</v>
      </c>
      <c r="L496" s="1" t="s">
        <v>91</v>
      </c>
      <c r="M496" s="1" t="s">
        <v>1140</v>
      </c>
      <c r="N496" s="1" t="s">
        <v>60</v>
      </c>
      <c r="O496" s="1" t="s">
        <v>2276</v>
      </c>
    </row>
    <row r="497" spans="1:15" x14ac:dyDescent="0.25">
      <c r="A497">
        <v>1520</v>
      </c>
      <c r="B497" s="1" t="s">
        <v>354</v>
      </c>
      <c r="C497" s="1" t="str">
        <f t="shared" si="7"/>
        <v>Quebec</v>
      </c>
      <c r="D497" s="1" t="s">
        <v>28</v>
      </c>
      <c r="E497" s="5">
        <v>39</v>
      </c>
      <c r="F497" s="1" t="s">
        <v>433</v>
      </c>
      <c r="G497" s="1" t="s">
        <v>395</v>
      </c>
      <c r="H497" t="s">
        <v>2270</v>
      </c>
      <c r="I497" s="1" t="s">
        <v>17</v>
      </c>
      <c r="J497" s="1" t="s">
        <v>25</v>
      </c>
      <c r="K497" s="1" t="s">
        <v>31</v>
      </c>
      <c r="L497" s="1" t="s">
        <v>91</v>
      </c>
      <c r="M497" s="1" t="s">
        <v>1141</v>
      </c>
      <c r="N497" s="1" t="s">
        <v>60</v>
      </c>
      <c r="O497" s="1" t="s">
        <v>2276</v>
      </c>
    </row>
    <row r="498" spans="1:15" x14ac:dyDescent="0.25">
      <c r="A498">
        <v>1521</v>
      </c>
      <c r="B498" s="1" t="s">
        <v>354</v>
      </c>
      <c r="C498" s="1" t="str">
        <f t="shared" si="7"/>
        <v>Quebec</v>
      </c>
      <c r="D498" s="1" t="s">
        <v>28</v>
      </c>
      <c r="E498" s="5">
        <v>47.06</v>
      </c>
      <c r="F498" s="1" t="s">
        <v>32</v>
      </c>
      <c r="G498" s="1" t="s">
        <v>1142</v>
      </c>
      <c r="H498" t="s">
        <v>2270</v>
      </c>
      <c r="I498" s="1" t="s">
        <v>17</v>
      </c>
      <c r="J498" s="1" t="s">
        <v>25</v>
      </c>
      <c r="K498" s="1" t="s">
        <v>31</v>
      </c>
      <c r="L498" s="1" t="s">
        <v>91</v>
      </c>
      <c r="M498" s="1" t="s">
        <v>1143</v>
      </c>
      <c r="N498" s="1" t="s">
        <v>22</v>
      </c>
      <c r="O498" s="1" t="s">
        <v>2276</v>
      </c>
    </row>
    <row r="499" spans="1:15" x14ac:dyDescent="0.25">
      <c r="A499">
        <v>1522</v>
      </c>
      <c r="B499" s="1" t="s">
        <v>354</v>
      </c>
      <c r="C499" s="1" t="str">
        <f t="shared" si="7"/>
        <v>Quebec</v>
      </c>
      <c r="D499" s="1" t="s">
        <v>28</v>
      </c>
      <c r="E499" s="5">
        <v>40</v>
      </c>
      <c r="F499" s="1" t="s">
        <v>1144</v>
      </c>
      <c r="G499" s="1" t="s">
        <v>1145</v>
      </c>
      <c r="H499" t="s">
        <v>2270</v>
      </c>
      <c r="I499" s="1" t="s">
        <v>17</v>
      </c>
      <c r="J499" s="1" t="s">
        <v>25</v>
      </c>
      <c r="K499" s="1" t="s">
        <v>31</v>
      </c>
      <c r="L499" s="1" t="s">
        <v>91</v>
      </c>
      <c r="M499" s="1" t="s">
        <v>1146</v>
      </c>
      <c r="N499" s="1" t="s">
        <v>22</v>
      </c>
      <c r="O499" s="1" t="s">
        <v>2276</v>
      </c>
    </row>
    <row r="500" spans="1:15" x14ac:dyDescent="0.25">
      <c r="A500">
        <v>1523</v>
      </c>
      <c r="B500" s="1" t="s">
        <v>354</v>
      </c>
      <c r="C500" s="1" t="str">
        <f t="shared" si="7"/>
        <v>Quebec</v>
      </c>
      <c r="D500" s="1" t="s">
        <v>73</v>
      </c>
      <c r="E500" s="5">
        <v>55</v>
      </c>
      <c r="F500" s="1" t="s">
        <v>1147</v>
      </c>
      <c r="G500" s="1" t="s">
        <v>1148</v>
      </c>
      <c r="H500" t="s">
        <v>2270</v>
      </c>
      <c r="I500" s="1" t="s">
        <v>43</v>
      </c>
      <c r="J500" s="1" t="s">
        <v>18</v>
      </c>
      <c r="K500" s="1" t="s">
        <v>31</v>
      </c>
      <c r="L500" s="1" t="s">
        <v>32</v>
      </c>
      <c r="M500" s="1" t="s">
        <v>1149</v>
      </c>
      <c r="N500" s="1" t="s">
        <v>22</v>
      </c>
      <c r="O500" s="1" t="s">
        <v>2276</v>
      </c>
    </row>
    <row r="501" spans="1:15" x14ac:dyDescent="0.25">
      <c r="A501">
        <v>1524</v>
      </c>
      <c r="B501" s="1" t="s">
        <v>354</v>
      </c>
      <c r="C501" s="1" t="str">
        <f t="shared" si="7"/>
        <v>Quebec</v>
      </c>
      <c r="D501" s="1" t="s">
        <v>73</v>
      </c>
      <c r="E501" s="5">
        <v>55</v>
      </c>
      <c r="F501" s="1" t="s">
        <v>1150</v>
      </c>
      <c r="G501" s="1" t="s">
        <v>1151</v>
      </c>
      <c r="H501" t="s">
        <v>2270</v>
      </c>
      <c r="I501" s="1" t="s">
        <v>43</v>
      </c>
      <c r="J501" s="1" t="s">
        <v>18</v>
      </c>
      <c r="K501" s="1" t="s">
        <v>31</v>
      </c>
      <c r="L501" s="1" t="s">
        <v>45</v>
      </c>
      <c r="M501" s="1" t="s">
        <v>1152</v>
      </c>
      <c r="N501" s="1" t="s">
        <v>22</v>
      </c>
      <c r="O501" s="1" t="s">
        <v>2276</v>
      </c>
    </row>
    <row r="502" spans="1:15" x14ac:dyDescent="0.25">
      <c r="A502">
        <v>1525</v>
      </c>
      <c r="B502" s="1" t="s">
        <v>354</v>
      </c>
      <c r="C502" s="1" t="str">
        <f t="shared" si="7"/>
        <v>Quebec</v>
      </c>
      <c r="D502" s="1" t="s">
        <v>73</v>
      </c>
      <c r="E502" s="5">
        <v>45</v>
      </c>
      <c r="F502" s="1" t="s">
        <v>1153</v>
      </c>
      <c r="G502" s="1" t="s">
        <v>1154</v>
      </c>
      <c r="H502" t="s">
        <v>2270</v>
      </c>
      <c r="I502" s="1" t="s">
        <v>24</v>
      </c>
      <c r="J502" s="1" t="s">
        <v>234</v>
      </c>
      <c r="K502" s="1" t="s">
        <v>31</v>
      </c>
      <c r="L502" s="1" t="s">
        <v>20</v>
      </c>
      <c r="M502" s="1" t="s">
        <v>1155</v>
      </c>
      <c r="N502" s="1" t="s">
        <v>60</v>
      </c>
      <c r="O502" s="1" t="s">
        <v>2276</v>
      </c>
    </row>
    <row r="503" spans="1:15" x14ac:dyDescent="0.25">
      <c r="A503">
        <v>1526</v>
      </c>
      <c r="B503" s="1" t="s">
        <v>354</v>
      </c>
      <c r="C503" s="1" t="str">
        <f t="shared" si="7"/>
        <v>Quebec</v>
      </c>
      <c r="D503" s="1" t="s">
        <v>73</v>
      </c>
      <c r="E503" s="5">
        <v>44</v>
      </c>
      <c r="F503" s="1" t="s">
        <v>1156</v>
      </c>
      <c r="G503" s="1" t="s">
        <v>1157</v>
      </c>
      <c r="H503" t="s">
        <v>2270</v>
      </c>
      <c r="I503" s="1" t="s">
        <v>35</v>
      </c>
      <c r="J503" s="1" t="s">
        <v>25</v>
      </c>
      <c r="K503" s="1" t="s">
        <v>19</v>
      </c>
      <c r="L503" s="1" t="s">
        <v>32</v>
      </c>
      <c r="M503" s="1" t="s">
        <v>1158</v>
      </c>
      <c r="N503" s="1" t="s">
        <v>60</v>
      </c>
      <c r="O503" s="1" t="s">
        <v>2276</v>
      </c>
    </row>
    <row r="504" spans="1:15" x14ac:dyDescent="0.25">
      <c r="A504">
        <v>1527</v>
      </c>
      <c r="B504" s="1" t="s">
        <v>354</v>
      </c>
      <c r="C504" s="1" t="str">
        <f t="shared" si="7"/>
        <v>Quebec</v>
      </c>
      <c r="D504" s="1" t="s">
        <v>73</v>
      </c>
      <c r="E504" s="5">
        <v>47</v>
      </c>
      <c r="F504" s="1" t="s">
        <v>1159</v>
      </c>
      <c r="G504" s="1" t="s">
        <v>1160</v>
      </c>
      <c r="H504" t="s">
        <v>2270</v>
      </c>
      <c r="I504" s="1" t="s">
        <v>24</v>
      </c>
      <c r="J504" s="1" t="s">
        <v>25</v>
      </c>
      <c r="K504" s="1" t="s">
        <v>31</v>
      </c>
      <c r="L504" s="1" t="s">
        <v>20</v>
      </c>
      <c r="M504" s="1" t="s">
        <v>1161</v>
      </c>
      <c r="N504" s="1" t="s">
        <v>22</v>
      </c>
      <c r="O504" s="1" t="s">
        <v>2276</v>
      </c>
    </row>
    <row r="505" spans="1:15" x14ac:dyDescent="0.25">
      <c r="A505">
        <v>1529</v>
      </c>
      <c r="B505" s="1" t="s">
        <v>354</v>
      </c>
      <c r="C505" s="1" t="str">
        <f t="shared" si="7"/>
        <v>Quebec</v>
      </c>
      <c r="D505" s="1" t="s">
        <v>14</v>
      </c>
      <c r="E505" s="5">
        <v>70</v>
      </c>
      <c r="F505" s="1" t="s">
        <v>1162</v>
      </c>
      <c r="G505" s="1" t="s">
        <v>1163</v>
      </c>
      <c r="H505" t="s">
        <v>2270</v>
      </c>
      <c r="I505" s="1" t="s">
        <v>40</v>
      </c>
      <c r="J505" s="1" t="s">
        <v>18</v>
      </c>
      <c r="K505" s="1" t="s">
        <v>31</v>
      </c>
      <c r="L505" s="1" t="s">
        <v>91</v>
      </c>
      <c r="M505" s="1" t="s">
        <v>1164</v>
      </c>
      <c r="N505" s="1" t="s">
        <v>22</v>
      </c>
      <c r="O505" s="1" t="s">
        <v>2276</v>
      </c>
    </row>
    <row r="506" spans="1:15" x14ac:dyDescent="0.25">
      <c r="A506">
        <v>1530</v>
      </c>
      <c r="B506" s="1" t="s">
        <v>354</v>
      </c>
      <c r="C506" s="1" t="str">
        <f t="shared" si="7"/>
        <v>Quebec</v>
      </c>
      <c r="D506" s="1" t="s">
        <v>14</v>
      </c>
      <c r="E506" s="5">
        <v>48</v>
      </c>
      <c r="F506" s="1" t="s">
        <v>1165</v>
      </c>
      <c r="G506" s="1" t="s">
        <v>1166</v>
      </c>
      <c r="H506" t="s">
        <v>2270</v>
      </c>
      <c r="I506" s="1" t="s">
        <v>35</v>
      </c>
      <c r="J506" s="1" t="s">
        <v>18</v>
      </c>
      <c r="K506" s="1" t="s">
        <v>31</v>
      </c>
      <c r="L506" s="1" t="s">
        <v>32</v>
      </c>
      <c r="M506" s="1" t="s">
        <v>1167</v>
      </c>
      <c r="N506" s="1" t="s">
        <v>22</v>
      </c>
      <c r="O506" s="1" t="s">
        <v>2276</v>
      </c>
    </row>
    <row r="507" spans="1:15" x14ac:dyDescent="0.25">
      <c r="A507">
        <v>1531</v>
      </c>
      <c r="B507" s="1" t="s">
        <v>354</v>
      </c>
      <c r="C507" s="1" t="str">
        <f t="shared" si="7"/>
        <v>Quebec</v>
      </c>
      <c r="D507" s="1" t="s">
        <v>14</v>
      </c>
      <c r="E507" s="5">
        <v>58</v>
      </c>
      <c r="F507" s="1" t="s">
        <v>1168</v>
      </c>
      <c r="G507" s="1" t="s">
        <v>32</v>
      </c>
      <c r="H507" t="s">
        <v>2270</v>
      </c>
      <c r="I507" s="1" t="s">
        <v>43</v>
      </c>
      <c r="J507" s="1" t="s">
        <v>18</v>
      </c>
      <c r="K507" s="1" t="s">
        <v>31</v>
      </c>
      <c r="L507" s="1" t="s">
        <v>32</v>
      </c>
      <c r="M507" s="1" t="s">
        <v>1169</v>
      </c>
      <c r="N507" s="1" t="s">
        <v>22</v>
      </c>
      <c r="O507" s="1" t="s">
        <v>2276</v>
      </c>
    </row>
    <row r="508" spans="1:15" x14ac:dyDescent="0.25">
      <c r="A508">
        <v>1532</v>
      </c>
      <c r="B508" s="1" t="s">
        <v>354</v>
      </c>
      <c r="C508" s="1" t="str">
        <f t="shared" si="7"/>
        <v>Quebec</v>
      </c>
      <c r="D508" s="1" t="s">
        <v>14</v>
      </c>
      <c r="E508" s="5">
        <v>50</v>
      </c>
      <c r="F508" s="1" t="s">
        <v>1170</v>
      </c>
      <c r="G508" s="1" t="s">
        <v>1171</v>
      </c>
      <c r="H508" t="s">
        <v>2270</v>
      </c>
      <c r="I508" s="1" t="s">
        <v>24</v>
      </c>
      <c r="J508" s="1" t="s">
        <v>18</v>
      </c>
      <c r="K508" s="1" t="s">
        <v>31</v>
      </c>
      <c r="L508" s="1" t="s">
        <v>32</v>
      </c>
      <c r="M508" s="1" t="s">
        <v>1172</v>
      </c>
      <c r="N508" s="1" t="s">
        <v>60</v>
      </c>
      <c r="O508" s="1" t="s">
        <v>2276</v>
      </c>
    </row>
    <row r="509" spans="1:15" x14ac:dyDescent="0.25">
      <c r="A509">
        <v>1533</v>
      </c>
      <c r="B509" s="1" t="s">
        <v>354</v>
      </c>
      <c r="C509" s="1" t="str">
        <f t="shared" si="7"/>
        <v>Quebec</v>
      </c>
      <c r="D509" s="1" t="s">
        <v>14</v>
      </c>
      <c r="E509" s="5">
        <v>60</v>
      </c>
      <c r="F509" s="1" t="s">
        <v>378</v>
      </c>
      <c r="G509" s="1" t="s">
        <v>1173</v>
      </c>
      <c r="H509" t="s">
        <v>2270</v>
      </c>
      <c r="I509" s="1" t="s">
        <v>40</v>
      </c>
      <c r="J509" s="1" t="s">
        <v>18</v>
      </c>
      <c r="K509" s="1" t="s">
        <v>31</v>
      </c>
      <c r="L509" s="1" t="s">
        <v>32</v>
      </c>
      <c r="M509" s="1" t="s">
        <v>1174</v>
      </c>
      <c r="N509" s="1" t="s">
        <v>22</v>
      </c>
      <c r="O509" s="1" t="s">
        <v>2276</v>
      </c>
    </row>
    <row r="510" spans="1:15" x14ac:dyDescent="0.25">
      <c r="A510">
        <v>1534</v>
      </c>
      <c r="B510" s="1" t="s">
        <v>354</v>
      </c>
      <c r="C510" s="1" t="str">
        <f t="shared" si="7"/>
        <v>Quebec</v>
      </c>
      <c r="D510" s="1" t="s">
        <v>14</v>
      </c>
      <c r="E510" s="5">
        <v>50</v>
      </c>
      <c r="F510" s="1" t="s">
        <v>1175</v>
      </c>
      <c r="G510" s="1" t="s">
        <v>1176</v>
      </c>
      <c r="H510" t="s">
        <v>2270</v>
      </c>
      <c r="I510" s="1" t="s">
        <v>43</v>
      </c>
      <c r="J510" s="1" t="s">
        <v>18</v>
      </c>
      <c r="K510" s="1" t="s">
        <v>31</v>
      </c>
      <c r="L510" s="1" t="s">
        <v>45</v>
      </c>
      <c r="M510" s="1" t="s">
        <v>1177</v>
      </c>
      <c r="N510" s="1" t="s">
        <v>22</v>
      </c>
      <c r="O510" s="1" t="s">
        <v>2276</v>
      </c>
    </row>
    <row r="511" spans="1:15" x14ac:dyDescent="0.25">
      <c r="A511">
        <v>1535</v>
      </c>
      <c r="B511" s="1" t="s">
        <v>354</v>
      </c>
      <c r="C511" s="1" t="str">
        <f t="shared" si="7"/>
        <v>Quebec</v>
      </c>
      <c r="D511" s="1" t="s">
        <v>14</v>
      </c>
      <c r="E511" s="5">
        <v>48</v>
      </c>
      <c r="F511" s="1" t="s">
        <v>1178</v>
      </c>
      <c r="G511" s="1" t="s">
        <v>1179</v>
      </c>
      <c r="H511" t="s">
        <v>2270</v>
      </c>
      <c r="I511" s="1" t="s">
        <v>35</v>
      </c>
      <c r="J511" s="1" t="s">
        <v>18</v>
      </c>
      <c r="K511" s="1" t="s">
        <v>31</v>
      </c>
      <c r="L511" s="1" t="s">
        <v>32</v>
      </c>
      <c r="M511" s="1" t="s">
        <v>1180</v>
      </c>
      <c r="N511" s="1" t="s">
        <v>22</v>
      </c>
      <c r="O511" s="1" t="s">
        <v>2276</v>
      </c>
    </row>
    <row r="512" spans="1:15" x14ac:dyDescent="0.25">
      <c r="A512">
        <v>1536</v>
      </c>
      <c r="B512" s="1" t="s">
        <v>354</v>
      </c>
      <c r="C512" s="1" t="str">
        <f t="shared" si="7"/>
        <v>Quebec</v>
      </c>
      <c r="D512" s="1" t="s">
        <v>14</v>
      </c>
      <c r="E512" s="5">
        <v>58</v>
      </c>
      <c r="F512" s="1" t="s">
        <v>47</v>
      </c>
      <c r="G512" s="1" t="s">
        <v>32</v>
      </c>
      <c r="H512" t="s">
        <v>2270</v>
      </c>
      <c r="I512" s="1" t="s">
        <v>43</v>
      </c>
      <c r="J512" s="1" t="s">
        <v>18</v>
      </c>
      <c r="K512" s="1" t="s">
        <v>31</v>
      </c>
      <c r="L512" s="1" t="s">
        <v>45</v>
      </c>
      <c r="M512" s="1" t="s">
        <v>1181</v>
      </c>
      <c r="N512" s="1" t="s">
        <v>22</v>
      </c>
      <c r="O512" s="1" t="s">
        <v>2276</v>
      </c>
    </row>
    <row r="513" spans="1:15" x14ac:dyDescent="0.25">
      <c r="A513">
        <v>1537</v>
      </c>
      <c r="B513" s="1" t="s">
        <v>354</v>
      </c>
      <c r="C513" s="1" t="str">
        <f t="shared" si="7"/>
        <v>Quebec</v>
      </c>
      <c r="D513" s="1" t="s">
        <v>14</v>
      </c>
      <c r="E513" s="5">
        <v>54</v>
      </c>
      <c r="F513" s="1" t="s">
        <v>1182</v>
      </c>
      <c r="G513" s="1" t="s">
        <v>1183</v>
      </c>
      <c r="H513" t="s">
        <v>2270</v>
      </c>
      <c r="I513" s="1" t="s">
        <v>40</v>
      </c>
      <c r="J513" s="1" t="s">
        <v>18</v>
      </c>
      <c r="K513" s="1" t="s">
        <v>31</v>
      </c>
      <c r="L513" s="1" t="s">
        <v>32</v>
      </c>
      <c r="M513" s="1" t="s">
        <v>1184</v>
      </c>
      <c r="N513" s="1" t="s">
        <v>22</v>
      </c>
      <c r="O513" s="1" t="s">
        <v>2276</v>
      </c>
    </row>
    <row r="514" spans="1:15" x14ac:dyDescent="0.25">
      <c r="A514">
        <v>1538</v>
      </c>
      <c r="B514" s="1" t="s">
        <v>354</v>
      </c>
      <c r="C514" s="1" t="str">
        <f t="shared" ref="C514:C577" si="8">IF(B514="NB","New Brunswick",IF(B514="AB","Alberta",IF(B514="BC","British Columbia",IF(B514="MB","Manitoba",IF(B514="NL","Newfoundland and Labrador",IF(B514="NS","Nova Scotia",IF(B514="ON","Ontario",IF(B514="PE","Prince Edward Island",IF(B514="QC","Quebec",IF(B514="SK","Saskatchewan",""))))))))))</f>
        <v>Quebec</v>
      </c>
      <c r="D514" s="1" t="s">
        <v>73</v>
      </c>
      <c r="E514" s="5">
        <v>42</v>
      </c>
      <c r="F514" s="1" t="s">
        <v>1185</v>
      </c>
      <c r="G514" s="1" t="s">
        <v>452</v>
      </c>
      <c r="H514" t="s">
        <v>2270</v>
      </c>
      <c r="I514" s="1" t="s">
        <v>17</v>
      </c>
      <c r="J514" s="1" t="s">
        <v>25</v>
      </c>
      <c r="K514" s="1" t="s">
        <v>31</v>
      </c>
      <c r="L514" s="1" t="s">
        <v>91</v>
      </c>
      <c r="M514" s="1" t="s">
        <v>1186</v>
      </c>
      <c r="N514" s="1" t="s">
        <v>22</v>
      </c>
      <c r="O514" s="1" t="s">
        <v>2276</v>
      </c>
    </row>
    <row r="515" spans="1:15" x14ac:dyDescent="0.25">
      <c r="A515">
        <v>1541</v>
      </c>
      <c r="B515" s="1" t="s">
        <v>354</v>
      </c>
      <c r="C515" s="1" t="str">
        <f t="shared" si="8"/>
        <v>Quebec</v>
      </c>
      <c r="D515" s="1" t="s">
        <v>73</v>
      </c>
      <c r="E515" s="5">
        <v>52</v>
      </c>
      <c r="F515" s="1" t="s">
        <v>32</v>
      </c>
      <c r="G515" s="1" t="s">
        <v>32</v>
      </c>
      <c r="H515" t="s">
        <v>2270</v>
      </c>
      <c r="I515" s="1" t="s">
        <v>24</v>
      </c>
      <c r="J515" s="1" t="s">
        <v>25</v>
      </c>
      <c r="K515" s="1" t="s">
        <v>31</v>
      </c>
      <c r="L515" s="1" t="s">
        <v>91</v>
      </c>
      <c r="M515" s="1" t="s">
        <v>1187</v>
      </c>
      <c r="N515" s="1" t="s">
        <v>22</v>
      </c>
      <c r="O515" s="1" t="s">
        <v>2276</v>
      </c>
    </row>
    <row r="516" spans="1:15" x14ac:dyDescent="0.25">
      <c r="A516">
        <v>1542</v>
      </c>
      <c r="B516" s="1" t="s">
        <v>354</v>
      </c>
      <c r="C516" s="1" t="str">
        <f t="shared" si="8"/>
        <v>Quebec</v>
      </c>
      <c r="D516" s="1" t="s">
        <v>73</v>
      </c>
      <c r="E516" s="5">
        <v>39</v>
      </c>
      <c r="F516" s="1" t="s">
        <v>1188</v>
      </c>
      <c r="G516" s="1" t="s">
        <v>1189</v>
      </c>
      <c r="H516" t="s">
        <v>2270</v>
      </c>
      <c r="I516" s="1" t="s">
        <v>17</v>
      </c>
      <c r="J516" s="1" t="s">
        <v>25</v>
      </c>
      <c r="K516" s="1" t="s">
        <v>19</v>
      </c>
      <c r="L516" s="1" t="s">
        <v>32</v>
      </c>
      <c r="M516" s="1" t="s">
        <v>1190</v>
      </c>
      <c r="N516" s="1" t="s">
        <v>22</v>
      </c>
      <c r="O516" s="1" t="s">
        <v>2276</v>
      </c>
    </row>
    <row r="517" spans="1:15" x14ac:dyDescent="0.25">
      <c r="A517">
        <v>1543</v>
      </c>
      <c r="B517" s="1" t="s">
        <v>354</v>
      </c>
      <c r="C517" s="1" t="str">
        <f t="shared" si="8"/>
        <v>Quebec</v>
      </c>
      <c r="D517" s="1" t="s">
        <v>73</v>
      </c>
      <c r="E517" s="5">
        <v>39</v>
      </c>
      <c r="F517" s="1" t="s">
        <v>1191</v>
      </c>
      <c r="G517" s="1" t="s">
        <v>1192</v>
      </c>
      <c r="H517" t="s">
        <v>2270</v>
      </c>
      <c r="I517" s="1" t="s">
        <v>17</v>
      </c>
      <c r="J517" s="1" t="s">
        <v>25</v>
      </c>
      <c r="K517" s="1" t="s">
        <v>107</v>
      </c>
      <c r="L517" s="1" t="s">
        <v>91</v>
      </c>
      <c r="M517" s="1" t="s">
        <v>1193</v>
      </c>
      <c r="N517" s="1" t="s">
        <v>60</v>
      </c>
      <c r="O517" s="1" t="s">
        <v>2276</v>
      </c>
    </row>
    <row r="518" spans="1:15" x14ac:dyDescent="0.25">
      <c r="A518">
        <v>1544</v>
      </c>
      <c r="B518" s="1" t="s">
        <v>354</v>
      </c>
      <c r="C518" s="1" t="str">
        <f t="shared" si="8"/>
        <v>Quebec</v>
      </c>
      <c r="D518" s="1" t="s">
        <v>73</v>
      </c>
      <c r="E518" s="5">
        <v>39</v>
      </c>
      <c r="F518" s="1" t="s">
        <v>1191</v>
      </c>
      <c r="G518" s="1" t="s">
        <v>32</v>
      </c>
      <c r="H518" t="s">
        <v>2270</v>
      </c>
      <c r="I518" s="1" t="s">
        <v>17</v>
      </c>
      <c r="J518" s="1" t="s">
        <v>25</v>
      </c>
      <c r="K518" s="1" t="s">
        <v>107</v>
      </c>
      <c r="L518" s="1" t="s">
        <v>91</v>
      </c>
      <c r="M518" s="1" t="s">
        <v>1194</v>
      </c>
      <c r="N518" s="1" t="s">
        <v>60</v>
      </c>
      <c r="O518" s="1" t="s">
        <v>2276</v>
      </c>
    </row>
    <row r="519" spans="1:15" x14ac:dyDescent="0.25">
      <c r="A519">
        <v>1545</v>
      </c>
      <c r="B519" s="1" t="s">
        <v>354</v>
      </c>
      <c r="C519" s="1" t="str">
        <f t="shared" si="8"/>
        <v>Quebec</v>
      </c>
      <c r="D519" s="1" t="s">
        <v>73</v>
      </c>
      <c r="E519" s="5">
        <v>39</v>
      </c>
      <c r="F519" s="1" t="s">
        <v>1191</v>
      </c>
      <c r="G519" s="1" t="s">
        <v>32</v>
      </c>
      <c r="H519" t="s">
        <v>2270</v>
      </c>
      <c r="I519" s="1" t="s">
        <v>17</v>
      </c>
      <c r="J519" s="1" t="s">
        <v>25</v>
      </c>
      <c r="K519" s="1" t="s">
        <v>107</v>
      </c>
      <c r="L519" s="1" t="s">
        <v>91</v>
      </c>
      <c r="M519" s="1" t="s">
        <v>1195</v>
      </c>
      <c r="N519" s="1" t="s">
        <v>60</v>
      </c>
      <c r="O519" s="1" t="s">
        <v>2276</v>
      </c>
    </row>
    <row r="520" spans="1:15" x14ac:dyDescent="0.25">
      <c r="A520">
        <v>1546</v>
      </c>
      <c r="B520" s="1" t="s">
        <v>354</v>
      </c>
      <c r="C520" s="1" t="str">
        <f t="shared" si="8"/>
        <v>Quebec</v>
      </c>
      <c r="D520" s="1" t="s">
        <v>73</v>
      </c>
      <c r="E520" s="5">
        <v>39</v>
      </c>
      <c r="F520" s="1" t="s">
        <v>32</v>
      </c>
      <c r="G520" s="1" t="s">
        <v>32</v>
      </c>
      <c r="H520" t="s">
        <v>2270</v>
      </c>
      <c r="I520" s="1" t="s">
        <v>17</v>
      </c>
      <c r="J520" s="1" t="s">
        <v>25</v>
      </c>
      <c r="K520" s="1" t="s">
        <v>107</v>
      </c>
      <c r="L520" s="1" t="s">
        <v>91</v>
      </c>
      <c r="M520" s="1" t="s">
        <v>1196</v>
      </c>
      <c r="N520" s="1" t="s">
        <v>60</v>
      </c>
      <c r="O520" s="1" t="s">
        <v>2276</v>
      </c>
    </row>
    <row r="521" spans="1:15" x14ac:dyDescent="0.25">
      <c r="A521">
        <v>1547</v>
      </c>
      <c r="B521" s="1" t="s">
        <v>354</v>
      </c>
      <c r="C521" s="1" t="str">
        <f t="shared" si="8"/>
        <v>Quebec</v>
      </c>
      <c r="D521" s="1" t="s">
        <v>73</v>
      </c>
      <c r="E521" s="5">
        <v>39</v>
      </c>
      <c r="F521" s="1" t="s">
        <v>32</v>
      </c>
      <c r="G521" s="1" t="s">
        <v>32</v>
      </c>
      <c r="H521" t="s">
        <v>2270</v>
      </c>
      <c r="I521" s="1" t="s">
        <v>17</v>
      </c>
      <c r="J521" s="1" t="s">
        <v>25</v>
      </c>
      <c r="K521" s="1" t="s">
        <v>19</v>
      </c>
      <c r="L521" s="1" t="s">
        <v>91</v>
      </c>
      <c r="M521" s="1" t="s">
        <v>1197</v>
      </c>
      <c r="N521" s="1" t="s">
        <v>60</v>
      </c>
      <c r="O521" s="1" t="s">
        <v>2276</v>
      </c>
    </row>
    <row r="522" spans="1:15" x14ac:dyDescent="0.25">
      <c r="A522">
        <v>1548</v>
      </c>
      <c r="B522" s="1" t="s">
        <v>354</v>
      </c>
      <c r="C522" s="1" t="str">
        <f t="shared" si="8"/>
        <v>Quebec</v>
      </c>
      <c r="D522" s="1" t="s">
        <v>73</v>
      </c>
      <c r="E522" s="5">
        <v>41</v>
      </c>
      <c r="F522" s="1" t="s">
        <v>32</v>
      </c>
      <c r="G522" s="1" t="s">
        <v>32</v>
      </c>
      <c r="H522" t="s">
        <v>2270</v>
      </c>
      <c r="I522" s="1" t="s">
        <v>17</v>
      </c>
      <c r="J522" s="1" t="s">
        <v>25</v>
      </c>
      <c r="K522" s="1" t="s">
        <v>31</v>
      </c>
      <c r="L522" s="1" t="s">
        <v>91</v>
      </c>
      <c r="M522" s="1" t="s">
        <v>1198</v>
      </c>
      <c r="N522" s="1" t="s">
        <v>22</v>
      </c>
      <c r="O522" s="1" t="s">
        <v>2276</v>
      </c>
    </row>
    <row r="523" spans="1:15" x14ac:dyDescent="0.25">
      <c r="A523">
        <v>1549</v>
      </c>
      <c r="B523" s="1" t="s">
        <v>354</v>
      </c>
      <c r="C523" s="1" t="str">
        <f t="shared" si="8"/>
        <v>Quebec</v>
      </c>
      <c r="D523" s="1" t="s">
        <v>73</v>
      </c>
      <c r="E523" s="5">
        <v>40</v>
      </c>
      <c r="F523" s="1" t="s">
        <v>1199</v>
      </c>
      <c r="G523" s="1" t="s">
        <v>1200</v>
      </c>
      <c r="H523" t="s">
        <v>2270</v>
      </c>
      <c r="I523" s="1" t="s">
        <v>17</v>
      </c>
      <c r="J523" s="1" t="s">
        <v>25</v>
      </c>
      <c r="K523" s="1" t="s">
        <v>31</v>
      </c>
      <c r="L523" s="1" t="s">
        <v>91</v>
      </c>
      <c r="M523" s="1" t="s">
        <v>1201</v>
      </c>
      <c r="N523" s="1" t="s">
        <v>22</v>
      </c>
      <c r="O523" s="1" t="s">
        <v>2276</v>
      </c>
    </row>
    <row r="524" spans="1:15" x14ac:dyDescent="0.25">
      <c r="A524">
        <v>1550</v>
      </c>
      <c r="B524" s="1" t="s">
        <v>354</v>
      </c>
      <c r="C524" s="1" t="str">
        <f t="shared" si="8"/>
        <v>Quebec</v>
      </c>
      <c r="D524" s="1" t="s">
        <v>73</v>
      </c>
      <c r="E524" s="5">
        <v>39</v>
      </c>
      <c r="F524" s="1" t="s">
        <v>1202</v>
      </c>
      <c r="G524" s="1" t="s">
        <v>1203</v>
      </c>
      <c r="H524" t="s">
        <v>2270</v>
      </c>
      <c r="I524" s="1" t="s">
        <v>17</v>
      </c>
      <c r="J524" s="1" t="s">
        <v>25</v>
      </c>
      <c r="K524" s="1" t="s">
        <v>107</v>
      </c>
      <c r="L524" s="1" t="s">
        <v>91</v>
      </c>
      <c r="M524" s="1" t="s">
        <v>1204</v>
      </c>
      <c r="N524" s="1" t="s">
        <v>60</v>
      </c>
      <c r="O524" s="1" t="s">
        <v>2276</v>
      </c>
    </row>
    <row r="525" spans="1:15" x14ac:dyDescent="0.25">
      <c r="A525">
        <v>1551</v>
      </c>
      <c r="B525" s="1" t="s">
        <v>354</v>
      </c>
      <c r="C525" s="1" t="str">
        <f t="shared" si="8"/>
        <v>Quebec</v>
      </c>
      <c r="D525" s="1" t="s">
        <v>73</v>
      </c>
      <c r="E525" s="5">
        <v>40</v>
      </c>
      <c r="F525" s="1" t="s">
        <v>1205</v>
      </c>
      <c r="G525" s="1" t="s">
        <v>1206</v>
      </c>
      <c r="H525" t="s">
        <v>2270</v>
      </c>
      <c r="I525" s="1" t="s">
        <v>17</v>
      </c>
      <c r="J525" s="1" t="s">
        <v>25</v>
      </c>
      <c r="K525" s="1" t="s">
        <v>19</v>
      </c>
      <c r="L525" s="1" t="s">
        <v>91</v>
      </c>
      <c r="M525" s="1" t="s">
        <v>1207</v>
      </c>
      <c r="N525" s="1" t="s">
        <v>22</v>
      </c>
      <c r="O525" s="1" t="s">
        <v>2276</v>
      </c>
    </row>
    <row r="526" spans="1:15" x14ac:dyDescent="0.25">
      <c r="A526">
        <v>1552</v>
      </c>
      <c r="B526" s="1" t="s">
        <v>354</v>
      </c>
      <c r="C526" s="1" t="str">
        <f t="shared" si="8"/>
        <v>Quebec</v>
      </c>
      <c r="D526" s="1" t="s">
        <v>73</v>
      </c>
      <c r="E526" s="5">
        <v>40</v>
      </c>
      <c r="F526" s="1" t="s">
        <v>1208</v>
      </c>
      <c r="G526" s="1" t="s">
        <v>1209</v>
      </c>
      <c r="H526" t="s">
        <v>2270</v>
      </c>
      <c r="I526" s="1" t="s">
        <v>17</v>
      </c>
      <c r="J526" s="1" t="s">
        <v>25</v>
      </c>
      <c r="K526" s="1" t="s">
        <v>31</v>
      </c>
      <c r="L526" s="1" t="s">
        <v>91</v>
      </c>
      <c r="M526" s="1" t="s">
        <v>1210</v>
      </c>
      <c r="N526" s="1" t="s">
        <v>60</v>
      </c>
      <c r="O526" s="1" t="s">
        <v>2276</v>
      </c>
    </row>
    <row r="527" spans="1:15" x14ac:dyDescent="0.25">
      <c r="A527">
        <v>1553</v>
      </c>
      <c r="B527" s="1" t="s">
        <v>354</v>
      </c>
      <c r="C527" s="1" t="str">
        <f t="shared" si="8"/>
        <v>Quebec</v>
      </c>
      <c r="D527" s="1" t="s">
        <v>73</v>
      </c>
      <c r="E527" s="5">
        <v>24</v>
      </c>
      <c r="F527" s="1" t="s">
        <v>1211</v>
      </c>
      <c r="G527" s="1" t="s">
        <v>1212</v>
      </c>
      <c r="H527" t="s">
        <v>2270</v>
      </c>
      <c r="I527" s="1" t="s">
        <v>17</v>
      </c>
      <c r="J527" s="1" t="s">
        <v>25</v>
      </c>
      <c r="K527" s="1" t="s">
        <v>19</v>
      </c>
      <c r="L527" s="1" t="s">
        <v>32</v>
      </c>
      <c r="M527" s="1" t="s">
        <v>1213</v>
      </c>
      <c r="N527" s="1" t="s">
        <v>60</v>
      </c>
      <c r="O527" s="1" t="s">
        <v>2276</v>
      </c>
    </row>
    <row r="528" spans="1:15" x14ac:dyDescent="0.25">
      <c r="A528">
        <v>1554</v>
      </c>
      <c r="B528" s="1" t="s">
        <v>354</v>
      </c>
      <c r="C528" s="1" t="str">
        <f t="shared" si="8"/>
        <v>Quebec</v>
      </c>
      <c r="D528" s="1" t="s">
        <v>73</v>
      </c>
      <c r="E528" s="5">
        <v>50</v>
      </c>
      <c r="F528" s="1" t="s">
        <v>1214</v>
      </c>
      <c r="G528" s="1" t="s">
        <v>1215</v>
      </c>
      <c r="H528" t="s">
        <v>2270</v>
      </c>
      <c r="I528" s="1" t="s">
        <v>43</v>
      </c>
      <c r="J528" s="1" t="s">
        <v>25</v>
      </c>
      <c r="K528" s="1" t="s">
        <v>19</v>
      </c>
      <c r="L528" s="1" t="s">
        <v>45</v>
      </c>
      <c r="M528" s="1" t="s">
        <v>1216</v>
      </c>
      <c r="N528" s="1" t="s">
        <v>22</v>
      </c>
      <c r="O528" s="1" t="s">
        <v>2276</v>
      </c>
    </row>
    <row r="529" spans="1:15" x14ac:dyDescent="0.25">
      <c r="A529">
        <v>1555</v>
      </c>
      <c r="B529" s="1" t="s">
        <v>354</v>
      </c>
      <c r="C529" s="1" t="str">
        <f t="shared" si="8"/>
        <v>Quebec</v>
      </c>
      <c r="D529" s="1" t="s">
        <v>73</v>
      </c>
      <c r="E529" s="5">
        <v>50</v>
      </c>
      <c r="F529" s="1" t="s">
        <v>1217</v>
      </c>
      <c r="G529" s="1" t="s">
        <v>32</v>
      </c>
      <c r="H529" t="s">
        <v>2270</v>
      </c>
      <c r="I529" s="1" t="s">
        <v>43</v>
      </c>
      <c r="J529" s="1" t="s">
        <v>25</v>
      </c>
      <c r="K529" s="1" t="s">
        <v>19</v>
      </c>
      <c r="L529" s="1" t="s">
        <v>20</v>
      </c>
      <c r="M529" s="1" t="s">
        <v>1218</v>
      </c>
      <c r="N529" s="1" t="s">
        <v>22</v>
      </c>
      <c r="O529" s="1" t="s">
        <v>2276</v>
      </c>
    </row>
    <row r="530" spans="1:15" x14ac:dyDescent="0.25">
      <c r="A530">
        <v>1556</v>
      </c>
      <c r="B530" s="1" t="s">
        <v>354</v>
      </c>
      <c r="C530" s="1" t="str">
        <f t="shared" si="8"/>
        <v>Quebec</v>
      </c>
      <c r="D530" s="1" t="s">
        <v>73</v>
      </c>
      <c r="E530" s="5">
        <v>45</v>
      </c>
      <c r="F530" s="1" t="s">
        <v>1219</v>
      </c>
      <c r="G530" s="1" t="s">
        <v>1220</v>
      </c>
      <c r="H530" t="s">
        <v>2270</v>
      </c>
      <c r="I530" s="1" t="s">
        <v>24</v>
      </c>
      <c r="J530" s="1" t="s">
        <v>25</v>
      </c>
      <c r="K530" s="1" t="s">
        <v>31</v>
      </c>
      <c r="L530" s="1" t="s">
        <v>20</v>
      </c>
      <c r="M530" s="1" t="s">
        <v>1221</v>
      </c>
      <c r="N530" s="1" t="s">
        <v>22</v>
      </c>
      <c r="O530" s="1" t="s">
        <v>2276</v>
      </c>
    </row>
    <row r="531" spans="1:15" x14ac:dyDescent="0.25">
      <c r="A531">
        <v>1557</v>
      </c>
      <c r="B531" s="1" t="s">
        <v>354</v>
      </c>
      <c r="C531" s="1" t="str">
        <f t="shared" si="8"/>
        <v>Quebec</v>
      </c>
      <c r="D531" s="1" t="s">
        <v>73</v>
      </c>
      <c r="E531" s="5">
        <v>48</v>
      </c>
      <c r="F531" s="1" t="s">
        <v>656</v>
      </c>
      <c r="G531" s="1" t="s">
        <v>1222</v>
      </c>
      <c r="H531" t="s">
        <v>2270</v>
      </c>
      <c r="I531" s="1" t="s">
        <v>24</v>
      </c>
      <c r="J531" s="1" t="s">
        <v>44</v>
      </c>
      <c r="K531" s="1" t="s">
        <v>31</v>
      </c>
      <c r="L531" s="1" t="s">
        <v>20</v>
      </c>
      <c r="M531" s="1" t="s">
        <v>1223</v>
      </c>
      <c r="N531" s="1" t="s">
        <v>22</v>
      </c>
      <c r="O531" s="1" t="s">
        <v>2276</v>
      </c>
    </row>
    <row r="532" spans="1:15" x14ac:dyDescent="0.25">
      <c r="A532">
        <v>1558</v>
      </c>
      <c r="B532" s="1" t="s">
        <v>354</v>
      </c>
      <c r="C532" s="1" t="str">
        <f t="shared" si="8"/>
        <v>Quebec</v>
      </c>
      <c r="D532" s="1" t="s">
        <v>73</v>
      </c>
      <c r="E532" s="5">
        <v>48</v>
      </c>
      <c r="F532" s="1" t="s">
        <v>1224</v>
      </c>
      <c r="G532" s="1" t="s">
        <v>1222</v>
      </c>
      <c r="H532" t="s">
        <v>2270</v>
      </c>
      <c r="I532" s="1" t="s">
        <v>24</v>
      </c>
      <c r="J532" s="1" t="s">
        <v>44</v>
      </c>
      <c r="K532" s="1" t="s">
        <v>31</v>
      </c>
      <c r="L532" s="1" t="s">
        <v>20</v>
      </c>
      <c r="M532" s="1" t="s">
        <v>1225</v>
      </c>
      <c r="N532" s="1" t="s">
        <v>22</v>
      </c>
      <c r="O532" s="1" t="s">
        <v>2276</v>
      </c>
    </row>
    <row r="533" spans="1:15" x14ac:dyDescent="0.25">
      <c r="A533">
        <v>1559</v>
      </c>
      <c r="B533" s="1" t="s">
        <v>354</v>
      </c>
      <c r="C533" s="1" t="str">
        <f t="shared" si="8"/>
        <v>Quebec</v>
      </c>
      <c r="D533" s="1" t="s">
        <v>73</v>
      </c>
      <c r="E533" s="5">
        <v>57</v>
      </c>
      <c r="F533" s="1" t="s">
        <v>32</v>
      </c>
      <c r="G533" s="1" t="s">
        <v>1020</v>
      </c>
      <c r="H533" t="s">
        <v>2270</v>
      </c>
      <c r="I533" s="1" t="s">
        <v>40</v>
      </c>
      <c r="J533" s="1" t="s">
        <v>44</v>
      </c>
      <c r="K533" s="1" t="s">
        <v>31</v>
      </c>
      <c r="L533" s="1" t="s">
        <v>91</v>
      </c>
      <c r="M533" s="1" t="s">
        <v>1226</v>
      </c>
      <c r="N533" s="1" t="s">
        <v>60</v>
      </c>
      <c r="O533" s="1" t="s">
        <v>2276</v>
      </c>
    </row>
    <row r="534" spans="1:15" x14ac:dyDescent="0.25">
      <c r="A534">
        <v>1560</v>
      </c>
      <c r="B534" s="1" t="s">
        <v>354</v>
      </c>
      <c r="C534" s="1" t="str">
        <f t="shared" si="8"/>
        <v>Quebec</v>
      </c>
      <c r="D534" s="1" t="s">
        <v>73</v>
      </c>
      <c r="E534" s="5">
        <v>35</v>
      </c>
      <c r="F534" s="1" t="s">
        <v>32</v>
      </c>
      <c r="G534" s="1" t="s">
        <v>1227</v>
      </c>
      <c r="H534" t="s">
        <v>2270</v>
      </c>
      <c r="I534" s="1" t="s">
        <v>17</v>
      </c>
      <c r="J534" s="1" t="s">
        <v>25</v>
      </c>
      <c r="K534" s="1" t="s">
        <v>31</v>
      </c>
      <c r="L534" s="1" t="s">
        <v>91</v>
      </c>
      <c r="M534" s="1" t="s">
        <v>1228</v>
      </c>
      <c r="N534" s="1" t="s">
        <v>60</v>
      </c>
      <c r="O534" s="1" t="s">
        <v>2276</v>
      </c>
    </row>
    <row r="535" spans="1:15" x14ac:dyDescent="0.25">
      <c r="A535">
        <v>1561</v>
      </c>
      <c r="B535" s="1" t="s">
        <v>354</v>
      </c>
      <c r="C535" s="1" t="str">
        <f t="shared" si="8"/>
        <v>Quebec</v>
      </c>
      <c r="D535" s="1" t="s">
        <v>73</v>
      </c>
      <c r="E535" s="5">
        <v>41</v>
      </c>
      <c r="F535" s="1" t="s">
        <v>1229</v>
      </c>
      <c r="G535" s="1" t="s">
        <v>1230</v>
      </c>
      <c r="H535" t="s">
        <v>2270</v>
      </c>
      <c r="I535" s="1" t="s">
        <v>17</v>
      </c>
      <c r="J535" s="1" t="s">
        <v>25</v>
      </c>
      <c r="K535" s="1" t="s">
        <v>31</v>
      </c>
      <c r="L535" s="1" t="s">
        <v>91</v>
      </c>
      <c r="M535" s="1" t="s">
        <v>1231</v>
      </c>
      <c r="N535" s="1" t="s">
        <v>60</v>
      </c>
      <c r="O535" s="1" t="s">
        <v>2276</v>
      </c>
    </row>
    <row r="536" spans="1:15" x14ac:dyDescent="0.25">
      <c r="A536">
        <v>1562</v>
      </c>
      <c r="B536" s="1" t="s">
        <v>354</v>
      </c>
      <c r="C536" s="1" t="str">
        <f t="shared" si="8"/>
        <v>Quebec</v>
      </c>
      <c r="D536" s="1" t="s">
        <v>73</v>
      </c>
      <c r="E536" s="5">
        <v>41</v>
      </c>
      <c r="F536" s="1" t="s">
        <v>1232</v>
      </c>
      <c r="G536" s="1" t="s">
        <v>32</v>
      </c>
      <c r="H536" t="s">
        <v>2270</v>
      </c>
      <c r="I536" s="1" t="s">
        <v>17</v>
      </c>
      <c r="J536" s="1" t="s">
        <v>25</v>
      </c>
      <c r="K536" s="1" t="s">
        <v>31</v>
      </c>
      <c r="L536" s="1" t="s">
        <v>91</v>
      </c>
      <c r="M536" s="1" t="s">
        <v>1233</v>
      </c>
      <c r="N536" s="1" t="s">
        <v>60</v>
      </c>
      <c r="O536" s="1" t="s">
        <v>2276</v>
      </c>
    </row>
    <row r="537" spans="1:15" x14ac:dyDescent="0.25">
      <c r="A537">
        <v>1564</v>
      </c>
      <c r="B537" s="1" t="s">
        <v>354</v>
      </c>
      <c r="C537" s="1" t="str">
        <f t="shared" si="8"/>
        <v>Quebec</v>
      </c>
      <c r="D537" s="1" t="s">
        <v>73</v>
      </c>
      <c r="E537" s="5">
        <v>40</v>
      </c>
      <c r="F537" s="1" t="s">
        <v>1234</v>
      </c>
      <c r="G537" s="1" t="s">
        <v>1235</v>
      </c>
      <c r="H537" t="s">
        <v>2270</v>
      </c>
      <c r="I537" s="1" t="s">
        <v>24</v>
      </c>
      <c r="J537" s="1" t="s">
        <v>25</v>
      </c>
      <c r="K537" s="1" t="s">
        <v>107</v>
      </c>
      <c r="L537" s="1" t="s">
        <v>32</v>
      </c>
      <c r="M537" s="1" t="s">
        <v>1236</v>
      </c>
      <c r="N537" s="1" t="s">
        <v>22</v>
      </c>
      <c r="O537" s="1" t="s">
        <v>2276</v>
      </c>
    </row>
    <row r="538" spans="1:15" x14ac:dyDescent="0.25">
      <c r="A538">
        <v>1565</v>
      </c>
      <c r="B538" s="1" t="s">
        <v>354</v>
      </c>
      <c r="C538" s="1" t="str">
        <f t="shared" si="8"/>
        <v>Quebec</v>
      </c>
      <c r="D538" s="1" t="s">
        <v>73</v>
      </c>
      <c r="E538" s="5">
        <v>40</v>
      </c>
      <c r="F538" s="1" t="s">
        <v>1237</v>
      </c>
      <c r="G538" s="1" t="s">
        <v>1238</v>
      </c>
      <c r="H538" t="s">
        <v>2270</v>
      </c>
      <c r="I538" s="1" t="s">
        <v>17</v>
      </c>
      <c r="J538" s="1" t="s">
        <v>25</v>
      </c>
      <c r="K538" s="1" t="s">
        <v>107</v>
      </c>
      <c r="L538" s="1" t="s">
        <v>32</v>
      </c>
      <c r="M538" s="1" t="s">
        <v>1239</v>
      </c>
      <c r="N538" s="1" t="s">
        <v>22</v>
      </c>
      <c r="O538" s="1" t="s">
        <v>2276</v>
      </c>
    </row>
    <row r="539" spans="1:15" x14ac:dyDescent="0.25">
      <c r="A539">
        <v>1566</v>
      </c>
      <c r="B539" s="1" t="s">
        <v>354</v>
      </c>
      <c r="C539" s="1" t="str">
        <f t="shared" si="8"/>
        <v>Quebec</v>
      </c>
      <c r="D539" s="1" t="s">
        <v>73</v>
      </c>
      <c r="E539" s="5">
        <v>45</v>
      </c>
      <c r="F539" s="1" t="s">
        <v>32</v>
      </c>
      <c r="G539" s="1" t="s">
        <v>114</v>
      </c>
      <c r="H539" t="s">
        <v>2270</v>
      </c>
      <c r="I539" s="1" t="s">
        <v>24</v>
      </c>
      <c r="J539" s="1" t="s">
        <v>234</v>
      </c>
      <c r="K539" s="1" t="s">
        <v>107</v>
      </c>
      <c r="L539" s="1" t="s">
        <v>32</v>
      </c>
      <c r="M539" s="1" t="s">
        <v>1240</v>
      </c>
      <c r="N539" s="1" t="s">
        <v>22</v>
      </c>
      <c r="O539" s="1" t="s">
        <v>2276</v>
      </c>
    </row>
    <row r="540" spans="1:15" x14ac:dyDescent="0.25">
      <c r="A540">
        <v>1567</v>
      </c>
      <c r="B540" s="1" t="s">
        <v>354</v>
      </c>
      <c r="C540" s="1" t="str">
        <f t="shared" si="8"/>
        <v>Quebec</v>
      </c>
      <c r="D540" s="1" t="s">
        <v>73</v>
      </c>
      <c r="E540" s="5">
        <v>55</v>
      </c>
      <c r="F540" s="1" t="s">
        <v>47</v>
      </c>
      <c r="G540" s="1" t="s">
        <v>1241</v>
      </c>
      <c r="H540" t="s">
        <v>2270</v>
      </c>
      <c r="I540" s="1" t="s">
        <v>40</v>
      </c>
      <c r="J540" s="1" t="s">
        <v>18</v>
      </c>
      <c r="K540" s="1" t="s">
        <v>31</v>
      </c>
      <c r="L540" s="1" t="s">
        <v>91</v>
      </c>
      <c r="M540" s="1" t="s">
        <v>1242</v>
      </c>
      <c r="N540" s="1" t="s">
        <v>22</v>
      </c>
      <c r="O540" s="1" t="s">
        <v>2276</v>
      </c>
    </row>
    <row r="541" spans="1:15" x14ac:dyDescent="0.25">
      <c r="A541">
        <v>1568</v>
      </c>
      <c r="B541" s="1" t="s">
        <v>354</v>
      </c>
      <c r="C541" s="1" t="str">
        <f t="shared" si="8"/>
        <v>Quebec</v>
      </c>
      <c r="D541" s="1" t="s">
        <v>73</v>
      </c>
      <c r="E541" s="5">
        <v>55</v>
      </c>
      <c r="F541" s="1" t="s">
        <v>32</v>
      </c>
      <c r="G541" s="1" t="s">
        <v>1243</v>
      </c>
      <c r="H541" t="s">
        <v>2270</v>
      </c>
      <c r="I541" s="1" t="s">
        <v>43</v>
      </c>
      <c r="J541" s="1" t="s">
        <v>44</v>
      </c>
      <c r="K541" s="1" t="s">
        <v>31</v>
      </c>
      <c r="L541" s="1" t="s">
        <v>91</v>
      </c>
      <c r="M541" s="1" t="s">
        <v>1244</v>
      </c>
      <c r="N541" s="1" t="s">
        <v>22</v>
      </c>
      <c r="O541" s="1" t="s">
        <v>2276</v>
      </c>
    </row>
    <row r="542" spans="1:15" x14ac:dyDescent="0.25">
      <c r="A542">
        <v>1569</v>
      </c>
      <c r="B542" s="1" t="s">
        <v>354</v>
      </c>
      <c r="C542" s="1" t="str">
        <f t="shared" si="8"/>
        <v>Quebec</v>
      </c>
      <c r="D542" s="1" t="s">
        <v>28</v>
      </c>
      <c r="E542" s="5">
        <v>60</v>
      </c>
      <c r="F542" s="1" t="s">
        <v>1245</v>
      </c>
      <c r="G542" s="1" t="s">
        <v>1246</v>
      </c>
      <c r="H542" t="s">
        <v>2270</v>
      </c>
      <c r="I542" s="1" t="s">
        <v>24</v>
      </c>
      <c r="J542" s="1" t="s">
        <v>25</v>
      </c>
      <c r="K542" s="1" t="s">
        <v>31</v>
      </c>
      <c r="L542" s="1" t="s">
        <v>91</v>
      </c>
      <c r="M542" s="1" t="s">
        <v>1247</v>
      </c>
      <c r="N542" s="1" t="s">
        <v>22</v>
      </c>
      <c r="O542" s="1" t="s">
        <v>2276</v>
      </c>
    </row>
    <row r="543" spans="1:15" x14ac:dyDescent="0.25">
      <c r="A543">
        <v>1570</v>
      </c>
      <c r="B543" s="1" t="s">
        <v>354</v>
      </c>
      <c r="C543" s="1" t="str">
        <f t="shared" si="8"/>
        <v>Quebec</v>
      </c>
      <c r="D543" s="1" t="s">
        <v>28</v>
      </c>
      <c r="E543" s="5">
        <v>76</v>
      </c>
      <c r="F543" s="1" t="s">
        <v>1248</v>
      </c>
      <c r="G543" s="1" t="s">
        <v>1249</v>
      </c>
      <c r="H543" t="s">
        <v>2270</v>
      </c>
      <c r="I543" s="1" t="s">
        <v>40</v>
      </c>
      <c r="J543" s="1" t="s">
        <v>25</v>
      </c>
      <c r="K543" s="1" t="s">
        <v>31</v>
      </c>
      <c r="L543" s="1" t="s">
        <v>91</v>
      </c>
      <c r="M543" s="1" t="s">
        <v>1250</v>
      </c>
      <c r="N543" s="1" t="s">
        <v>22</v>
      </c>
      <c r="O543" s="1" t="s">
        <v>2276</v>
      </c>
    </row>
    <row r="544" spans="1:15" x14ac:dyDescent="0.25">
      <c r="A544">
        <v>1571</v>
      </c>
      <c r="B544" s="1" t="s">
        <v>354</v>
      </c>
      <c r="C544" s="1" t="str">
        <f t="shared" si="8"/>
        <v>Quebec</v>
      </c>
      <c r="D544" s="1" t="s">
        <v>28</v>
      </c>
      <c r="E544" s="5">
        <v>60</v>
      </c>
      <c r="F544" s="1" t="s">
        <v>32</v>
      </c>
      <c r="G544" s="1" t="s">
        <v>1251</v>
      </c>
      <c r="H544" t="s">
        <v>2270</v>
      </c>
      <c r="I544" s="1" t="s">
        <v>40</v>
      </c>
      <c r="J544" s="1" t="s">
        <v>25</v>
      </c>
      <c r="K544" s="1" t="s">
        <v>31</v>
      </c>
      <c r="L544" s="1" t="s">
        <v>91</v>
      </c>
      <c r="M544" s="1" t="s">
        <v>1252</v>
      </c>
      <c r="N544" s="1" t="s">
        <v>22</v>
      </c>
      <c r="O544" s="1" t="s">
        <v>2276</v>
      </c>
    </row>
    <row r="545" spans="1:15" x14ac:dyDescent="0.25">
      <c r="A545">
        <v>1572</v>
      </c>
      <c r="B545" s="1" t="s">
        <v>354</v>
      </c>
      <c r="C545" s="1" t="str">
        <f t="shared" si="8"/>
        <v>Quebec</v>
      </c>
      <c r="D545" s="1" t="s">
        <v>28</v>
      </c>
      <c r="E545" s="5">
        <v>52</v>
      </c>
      <c r="F545" s="1" t="s">
        <v>32</v>
      </c>
      <c r="G545" s="1" t="s">
        <v>1253</v>
      </c>
      <c r="H545" t="s">
        <v>2270</v>
      </c>
      <c r="I545" s="1" t="s">
        <v>24</v>
      </c>
      <c r="J545" s="1" t="s">
        <v>25</v>
      </c>
      <c r="K545" s="1" t="s">
        <v>31</v>
      </c>
      <c r="L545" s="1" t="s">
        <v>91</v>
      </c>
      <c r="M545" s="1" t="s">
        <v>1254</v>
      </c>
      <c r="N545" s="1" t="s">
        <v>22</v>
      </c>
      <c r="O545" s="1" t="s">
        <v>2276</v>
      </c>
    </row>
    <row r="546" spans="1:15" x14ac:dyDescent="0.25">
      <c r="A546">
        <v>1573</v>
      </c>
      <c r="B546" s="1" t="s">
        <v>354</v>
      </c>
      <c r="C546" s="1" t="str">
        <f t="shared" si="8"/>
        <v>Quebec</v>
      </c>
      <c r="D546" s="1" t="s">
        <v>28</v>
      </c>
      <c r="E546" s="5">
        <v>52</v>
      </c>
      <c r="F546" s="1" t="s">
        <v>32</v>
      </c>
      <c r="G546" s="1" t="s">
        <v>1253</v>
      </c>
      <c r="H546" t="s">
        <v>2270</v>
      </c>
      <c r="I546" s="1" t="s">
        <v>24</v>
      </c>
      <c r="J546" s="1" t="s">
        <v>25</v>
      </c>
      <c r="K546" s="1" t="s">
        <v>31</v>
      </c>
      <c r="L546" s="1" t="s">
        <v>91</v>
      </c>
      <c r="M546" s="1" t="s">
        <v>1255</v>
      </c>
      <c r="N546" s="1" t="s">
        <v>22</v>
      </c>
      <c r="O546" s="1" t="s">
        <v>2276</v>
      </c>
    </row>
    <row r="547" spans="1:15" x14ac:dyDescent="0.25">
      <c r="A547">
        <v>1574</v>
      </c>
      <c r="B547" s="1" t="s">
        <v>354</v>
      </c>
      <c r="C547" s="1" t="str">
        <f t="shared" si="8"/>
        <v>Quebec</v>
      </c>
      <c r="D547" s="1" t="s">
        <v>28</v>
      </c>
      <c r="E547" s="5">
        <v>52</v>
      </c>
      <c r="F547" s="1" t="s">
        <v>32</v>
      </c>
      <c r="G547" s="1" t="s">
        <v>1253</v>
      </c>
      <c r="H547" t="s">
        <v>2270</v>
      </c>
      <c r="I547" s="1" t="s">
        <v>24</v>
      </c>
      <c r="J547" s="1" t="s">
        <v>25</v>
      </c>
      <c r="K547" s="1" t="s">
        <v>31</v>
      </c>
      <c r="L547" s="1" t="s">
        <v>91</v>
      </c>
      <c r="M547" s="1" t="s">
        <v>1256</v>
      </c>
      <c r="N547" s="1" t="s">
        <v>22</v>
      </c>
      <c r="O547" s="1" t="s">
        <v>2276</v>
      </c>
    </row>
    <row r="548" spans="1:15" x14ac:dyDescent="0.25">
      <c r="A548">
        <v>1578</v>
      </c>
      <c r="B548" s="1" t="s">
        <v>354</v>
      </c>
      <c r="C548" s="1" t="str">
        <f t="shared" si="8"/>
        <v>Quebec</v>
      </c>
      <c r="D548" s="1" t="s">
        <v>28</v>
      </c>
      <c r="E548" s="5">
        <v>39</v>
      </c>
      <c r="F548" s="1" t="s">
        <v>32</v>
      </c>
      <c r="G548" s="1" t="s">
        <v>1257</v>
      </c>
      <c r="H548" t="s">
        <v>2270</v>
      </c>
      <c r="I548" s="1" t="s">
        <v>17</v>
      </c>
      <c r="J548" s="1" t="s">
        <v>25</v>
      </c>
      <c r="K548" s="1" t="s">
        <v>31</v>
      </c>
      <c r="L548" s="1" t="s">
        <v>91</v>
      </c>
      <c r="M548" s="1" t="s">
        <v>1258</v>
      </c>
      <c r="N548" s="1" t="s">
        <v>60</v>
      </c>
      <c r="O548" s="1" t="s">
        <v>2276</v>
      </c>
    </row>
    <row r="549" spans="1:15" x14ac:dyDescent="0.25">
      <c r="A549">
        <v>1581</v>
      </c>
      <c r="B549" s="1" t="s">
        <v>354</v>
      </c>
      <c r="C549" s="1" t="str">
        <f t="shared" si="8"/>
        <v>Quebec</v>
      </c>
      <c r="D549" s="1" t="s">
        <v>28</v>
      </c>
      <c r="E549" s="5">
        <v>45</v>
      </c>
      <c r="F549" s="1" t="s">
        <v>1259</v>
      </c>
      <c r="G549" s="1" t="s">
        <v>1260</v>
      </c>
      <c r="H549" t="s">
        <v>2270</v>
      </c>
      <c r="I549" s="1" t="s">
        <v>17</v>
      </c>
      <c r="J549" s="1" t="s">
        <v>25</v>
      </c>
      <c r="K549" s="1" t="s">
        <v>31</v>
      </c>
      <c r="L549" s="1" t="s">
        <v>91</v>
      </c>
      <c r="M549" s="1" t="s">
        <v>1261</v>
      </c>
      <c r="N549" s="1" t="s">
        <v>22</v>
      </c>
      <c r="O549" s="1" t="s">
        <v>2276</v>
      </c>
    </row>
    <row r="550" spans="1:15" x14ac:dyDescent="0.25">
      <c r="A550">
        <v>1582</v>
      </c>
      <c r="B550" s="1" t="s">
        <v>354</v>
      </c>
      <c r="C550" s="1" t="str">
        <f t="shared" si="8"/>
        <v>Quebec</v>
      </c>
      <c r="D550" s="1" t="s">
        <v>28</v>
      </c>
      <c r="E550" s="5">
        <v>45</v>
      </c>
      <c r="F550" s="1" t="s">
        <v>1262</v>
      </c>
      <c r="G550" s="1" t="s">
        <v>1263</v>
      </c>
      <c r="H550" t="s">
        <v>2270</v>
      </c>
      <c r="I550" s="1" t="s">
        <v>17</v>
      </c>
      <c r="J550" s="1" t="s">
        <v>25</v>
      </c>
      <c r="K550" s="1" t="s">
        <v>31</v>
      </c>
      <c r="L550" s="1" t="s">
        <v>91</v>
      </c>
      <c r="M550" s="1" t="s">
        <v>1264</v>
      </c>
      <c r="N550" s="1" t="s">
        <v>22</v>
      </c>
      <c r="O550" s="1" t="s">
        <v>2276</v>
      </c>
    </row>
    <row r="551" spans="1:15" x14ac:dyDescent="0.25">
      <c r="A551">
        <v>1583</v>
      </c>
      <c r="B551" s="1" t="s">
        <v>354</v>
      </c>
      <c r="C551" s="1" t="str">
        <f t="shared" si="8"/>
        <v>Quebec</v>
      </c>
      <c r="D551" s="1" t="s">
        <v>28</v>
      </c>
      <c r="E551" s="5">
        <v>45</v>
      </c>
      <c r="F551" s="1" t="s">
        <v>733</v>
      </c>
      <c r="G551" s="1" t="s">
        <v>1265</v>
      </c>
      <c r="H551" t="s">
        <v>2270</v>
      </c>
      <c r="I551" s="1" t="s">
        <v>17</v>
      </c>
      <c r="J551" s="1" t="s">
        <v>25</v>
      </c>
      <c r="K551" s="1" t="s">
        <v>31</v>
      </c>
      <c r="L551" s="1" t="s">
        <v>32</v>
      </c>
      <c r="M551" s="1" t="s">
        <v>1266</v>
      </c>
      <c r="N551" s="1" t="s">
        <v>22</v>
      </c>
      <c r="O551" s="1" t="s">
        <v>2276</v>
      </c>
    </row>
    <row r="552" spans="1:15" x14ac:dyDescent="0.25">
      <c r="A552">
        <v>1584</v>
      </c>
      <c r="B552" s="1" t="s">
        <v>354</v>
      </c>
      <c r="C552" s="1" t="str">
        <f t="shared" si="8"/>
        <v>Quebec</v>
      </c>
      <c r="D552" s="1" t="s">
        <v>28</v>
      </c>
      <c r="E552" s="5">
        <v>60</v>
      </c>
      <c r="F552" s="1" t="s">
        <v>1267</v>
      </c>
      <c r="G552" s="1" t="s">
        <v>1268</v>
      </c>
      <c r="H552" t="s">
        <v>2270</v>
      </c>
      <c r="I552" s="1" t="s">
        <v>43</v>
      </c>
      <c r="J552" s="1" t="s">
        <v>25</v>
      </c>
      <c r="K552" s="1" t="s">
        <v>31</v>
      </c>
      <c r="L552" s="1" t="s">
        <v>91</v>
      </c>
      <c r="M552" s="1" t="s">
        <v>1269</v>
      </c>
      <c r="N552" s="1" t="s">
        <v>22</v>
      </c>
      <c r="O552" s="1" t="s">
        <v>2276</v>
      </c>
    </row>
    <row r="553" spans="1:15" x14ac:dyDescent="0.25">
      <c r="A553">
        <v>1585</v>
      </c>
      <c r="B553" s="1" t="s">
        <v>354</v>
      </c>
      <c r="C553" s="1" t="str">
        <f t="shared" si="8"/>
        <v>Quebec</v>
      </c>
      <c r="D553" s="1" t="s">
        <v>28</v>
      </c>
      <c r="E553" s="5">
        <v>52</v>
      </c>
      <c r="F553" s="1" t="s">
        <v>1270</v>
      </c>
      <c r="G553" s="1" t="s">
        <v>1271</v>
      </c>
      <c r="H553" t="s">
        <v>2270</v>
      </c>
      <c r="I553" s="1" t="s">
        <v>24</v>
      </c>
      <c r="J553" s="1" t="s">
        <v>25</v>
      </c>
      <c r="K553" s="1" t="s">
        <v>31</v>
      </c>
      <c r="L553" s="1" t="s">
        <v>91</v>
      </c>
      <c r="M553" s="1" t="s">
        <v>1272</v>
      </c>
      <c r="N553" s="1" t="s">
        <v>22</v>
      </c>
      <c r="O553" s="1" t="s">
        <v>2276</v>
      </c>
    </row>
    <row r="554" spans="1:15" x14ac:dyDescent="0.25">
      <c r="A554">
        <v>1586</v>
      </c>
      <c r="B554" s="1" t="s">
        <v>354</v>
      </c>
      <c r="C554" s="1" t="str">
        <f t="shared" si="8"/>
        <v>Quebec</v>
      </c>
      <c r="D554" s="1" t="s">
        <v>28</v>
      </c>
      <c r="E554" s="5">
        <v>50</v>
      </c>
      <c r="F554" s="1" t="s">
        <v>912</v>
      </c>
      <c r="G554" s="1" t="s">
        <v>32</v>
      </c>
      <c r="H554" t="s">
        <v>2270</v>
      </c>
      <c r="I554" s="1" t="s">
        <v>24</v>
      </c>
      <c r="J554" s="1" t="s">
        <v>25</v>
      </c>
      <c r="K554" s="1" t="s">
        <v>31</v>
      </c>
      <c r="L554" s="1" t="s">
        <v>20</v>
      </c>
      <c r="M554" s="1" t="s">
        <v>1273</v>
      </c>
      <c r="N554" s="1" t="s">
        <v>22</v>
      </c>
      <c r="O554" s="1" t="s">
        <v>2276</v>
      </c>
    </row>
    <row r="555" spans="1:15" x14ac:dyDescent="0.25">
      <c r="A555">
        <v>1587</v>
      </c>
      <c r="B555" s="1" t="s">
        <v>354</v>
      </c>
      <c r="C555" s="1" t="str">
        <f t="shared" si="8"/>
        <v>Quebec</v>
      </c>
      <c r="D555" s="1" t="s">
        <v>28</v>
      </c>
      <c r="E555" s="5">
        <v>60</v>
      </c>
      <c r="F555" s="1" t="s">
        <v>1274</v>
      </c>
      <c r="G555" s="1" t="s">
        <v>1275</v>
      </c>
      <c r="H555" t="s">
        <v>2270</v>
      </c>
      <c r="I555" s="1" t="s">
        <v>40</v>
      </c>
      <c r="J555" s="1" t="s">
        <v>25</v>
      </c>
      <c r="K555" s="1" t="s">
        <v>31</v>
      </c>
      <c r="L555" s="1" t="s">
        <v>91</v>
      </c>
      <c r="M555" s="1" t="s">
        <v>1276</v>
      </c>
      <c r="N555" s="1" t="s">
        <v>22</v>
      </c>
      <c r="O555" s="1" t="s">
        <v>2276</v>
      </c>
    </row>
    <row r="556" spans="1:15" x14ac:dyDescent="0.25">
      <c r="A556">
        <v>1588</v>
      </c>
      <c r="B556" s="1" t="s">
        <v>354</v>
      </c>
      <c r="C556" s="1" t="str">
        <f t="shared" si="8"/>
        <v>Quebec</v>
      </c>
      <c r="D556" s="1" t="s">
        <v>28</v>
      </c>
      <c r="E556" s="5">
        <v>60</v>
      </c>
      <c r="F556" s="1" t="s">
        <v>1277</v>
      </c>
      <c r="G556" s="1" t="s">
        <v>1278</v>
      </c>
      <c r="H556" t="s">
        <v>2270</v>
      </c>
      <c r="I556" s="1" t="s">
        <v>43</v>
      </c>
      <c r="J556" s="1" t="s">
        <v>25</v>
      </c>
      <c r="K556" s="1" t="s">
        <v>31</v>
      </c>
      <c r="L556" s="1" t="s">
        <v>91</v>
      </c>
      <c r="M556" s="1" t="s">
        <v>1279</v>
      </c>
      <c r="N556" s="1" t="s">
        <v>22</v>
      </c>
      <c r="O556" s="1" t="s">
        <v>2276</v>
      </c>
    </row>
    <row r="557" spans="1:15" x14ac:dyDescent="0.25">
      <c r="A557">
        <v>1589</v>
      </c>
      <c r="B557" s="1" t="s">
        <v>354</v>
      </c>
      <c r="C557" s="1" t="str">
        <f t="shared" si="8"/>
        <v>Quebec</v>
      </c>
      <c r="D557" s="1" t="s">
        <v>28</v>
      </c>
      <c r="E557" s="5">
        <v>55</v>
      </c>
      <c r="F557" s="1" t="s">
        <v>1280</v>
      </c>
      <c r="G557" s="1" t="s">
        <v>1246</v>
      </c>
      <c r="H557" t="s">
        <v>2270</v>
      </c>
      <c r="I557" s="1" t="s">
        <v>24</v>
      </c>
      <c r="J557" s="1" t="s">
        <v>25</v>
      </c>
      <c r="K557" s="1" t="s">
        <v>31</v>
      </c>
      <c r="L557" s="1" t="s">
        <v>91</v>
      </c>
      <c r="M557" s="1" t="s">
        <v>1281</v>
      </c>
      <c r="N557" s="1" t="s">
        <v>22</v>
      </c>
      <c r="O557" s="1" t="s">
        <v>2276</v>
      </c>
    </row>
    <row r="558" spans="1:15" x14ac:dyDescent="0.25">
      <c r="A558">
        <v>1590</v>
      </c>
      <c r="B558" s="1" t="s">
        <v>354</v>
      </c>
      <c r="C558" s="1" t="str">
        <f t="shared" si="8"/>
        <v>Quebec</v>
      </c>
      <c r="D558" s="1" t="s">
        <v>28</v>
      </c>
      <c r="E558" s="5">
        <v>45</v>
      </c>
      <c r="F558" s="1" t="s">
        <v>1282</v>
      </c>
      <c r="G558" s="1" t="s">
        <v>1283</v>
      </c>
      <c r="H558" t="s">
        <v>2270</v>
      </c>
      <c r="I558" s="1" t="s">
        <v>17</v>
      </c>
      <c r="J558" s="1" t="s">
        <v>25</v>
      </c>
      <c r="K558" s="1" t="s">
        <v>31</v>
      </c>
      <c r="L558" s="1" t="s">
        <v>32</v>
      </c>
      <c r="M558" s="1" t="s">
        <v>1284</v>
      </c>
      <c r="N558" s="1" t="s">
        <v>22</v>
      </c>
      <c r="O558" s="1" t="s">
        <v>2276</v>
      </c>
    </row>
    <row r="559" spans="1:15" x14ac:dyDescent="0.25">
      <c r="A559">
        <v>1591</v>
      </c>
      <c r="B559" s="1" t="s">
        <v>354</v>
      </c>
      <c r="C559" s="1" t="str">
        <f t="shared" si="8"/>
        <v>Quebec</v>
      </c>
      <c r="D559" s="1" t="s">
        <v>28</v>
      </c>
      <c r="E559" s="5">
        <v>65</v>
      </c>
      <c r="F559" s="1" t="s">
        <v>1285</v>
      </c>
      <c r="G559" s="1" t="s">
        <v>1249</v>
      </c>
      <c r="H559" t="s">
        <v>2270</v>
      </c>
      <c r="I559" s="1" t="s">
        <v>40</v>
      </c>
      <c r="J559" s="1" t="s">
        <v>25</v>
      </c>
      <c r="K559" s="1" t="s">
        <v>31</v>
      </c>
      <c r="L559" s="1" t="s">
        <v>91</v>
      </c>
      <c r="M559" s="1" t="s">
        <v>1286</v>
      </c>
      <c r="N559" s="1" t="s">
        <v>22</v>
      </c>
      <c r="O559" s="1" t="s">
        <v>2276</v>
      </c>
    </row>
    <row r="560" spans="1:15" x14ac:dyDescent="0.25">
      <c r="A560">
        <v>1593</v>
      </c>
      <c r="B560" s="1" t="s">
        <v>354</v>
      </c>
      <c r="C560" s="1" t="str">
        <f t="shared" si="8"/>
        <v>Quebec</v>
      </c>
      <c r="D560" s="1" t="s">
        <v>73</v>
      </c>
      <c r="E560" s="5">
        <v>50</v>
      </c>
      <c r="F560" s="1" t="s">
        <v>1287</v>
      </c>
      <c r="G560" s="1" t="s">
        <v>32</v>
      </c>
      <c r="H560" t="s">
        <v>2270</v>
      </c>
      <c r="I560" s="1" t="s">
        <v>43</v>
      </c>
      <c r="J560" s="1" t="s">
        <v>25</v>
      </c>
      <c r="K560" s="1" t="s">
        <v>107</v>
      </c>
      <c r="L560" s="1" t="s">
        <v>45</v>
      </c>
      <c r="M560" s="1" t="s">
        <v>1288</v>
      </c>
      <c r="N560" s="1" t="s">
        <v>60</v>
      </c>
      <c r="O560" s="1" t="s">
        <v>2276</v>
      </c>
    </row>
    <row r="561" spans="1:15" x14ac:dyDescent="0.25">
      <c r="A561">
        <v>1594</v>
      </c>
      <c r="B561" s="1" t="s">
        <v>354</v>
      </c>
      <c r="C561" s="1" t="str">
        <f t="shared" si="8"/>
        <v>Quebec</v>
      </c>
      <c r="D561" s="1" t="s">
        <v>73</v>
      </c>
      <c r="E561" s="5">
        <v>45</v>
      </c>
      <c r="F561" s="1" t="s">
        <v>1289</v>
      </c>
      <c r="G561" s="1" t="s">
        <v>1290</v>
      </c>
      <c r="H561" t="s">
        <v>2270</v>
      </c>
      <c r="I561" s="1" t="s">
        <v>24</v>
      </c>
      <c r="J561" s="1" t="s">
        <v>25</v>
      </c>
      <c r="K561" s="1" t="s">
        <v>107</v>
      </c>
      <c r="L561" s="1" t="s">
        <v>419</v>
      </c>
      <c r="M561" s="1" t="s">
        <v>1291</v>
      </c>
      <c r="N561" s="1" t="s">
        <v>60</v>
      </c>
      <c r="O561" s="1" t="s">
        <v>2276</v>
      </c>
    </row>
    <row r="562" spans="1:15" x14ac:dyDescent="0.25">
      <c r="A562">
        <v>1595</v>
      </c>
      <c r="B562" s="1" t="s">
        <v>354</v>
      </c>
      <c r="C562" s="1" t="str">
        <f t="shared" si="8"/>
        <v>Quebec</v>
      </c>
      <c r="D562" s="1" t="s">
        <v>73</v>
      </c>
      <c r="E562" s="5">
        <v>50</v>
      </c>
      <c r="F562" s="1" t="s">
        <v>1292</v>
      </c>
      <c r="G562" s="1" t="s">
        <v>1293</v>
      </c>
      <c r="H562" t="s">
        <v>2270</v>
      </c>
      <c r="I562" s="1" t="s">
        <v>43</v>
      </c>
      <c r="J562" s="1" t="s">
        <v>25</v>
      </c>
      <c r="K562" s="1" t="s">
        <v>107</v>
      </c>
      <c r="L562" s="1" t="s">
        <v>45</v>
      </c>
      <c r="M562" s="1" t="s">
        <v>1294</v>
      </c>
      <c r="N562" s="1" t="s">
        <v>22</v>
      </c>
      <c r="O562" s="1" t="s">
        <v>2276</v>
      </c>
    </row>
    <row r="563" spans="1:15" x14ac:dyDescent="0.25">
      <c r="A563">
        <v>1596</v>
      </c>
      <c r="B563" s="1" t="s">
        <v>354</v>
      </c>
      <c r="C563" s="1" t="str">
        <f t="shared" si="8"/>
        <v>Quebec</v>
      </c>
      <c r="D563" s="1" t="s">
        <v>73</v>
      </c>
      <c r="E563" s="5">
        <v>39</v>
      </c>
      <c r="F563" s="1" t="s">
        <v>433</v>
      </c>
      <c r="G563" s="1" t="s">
        <v>1295</v>
      </c>
      <c r="H563" t="s">
        <v>2270</v>
      </c>
      <c r="I563" s="1" t="s">
        <v>17</v>
      </c>
      <c r="J563" s="1" t="s">
        <v>25</v>
      </c>
      <c r="K563" s="1" t="s">
        <v>107</v>
      </c>
      <c r="L563" s="1" t="s">
        <v>91</v>
      </c>
      <c r="M563" s="1" t="s">
        <v>1296</v>
      </c>
      <c r="N563" s="1" t="s">
        <v>60</v>
      </c>
      <c r="O563" s="1" t="s">
        <v>2276</v>
      </c>
    </row>
    <row r="564" spans="1:15" x14ac:dyDescent="0.25">
      <c r="A564">
        <v>1597</v>
      </c>
      <c r="B564" s="1" t="s">
        <v>354</v>
      </c>
      <c r="C564" s="1" t="str">
        <f t="shared" si="8"/>
        <v>Quebec</v>
      </c>
      <c r="D564" s="1" t="s">
        <v>73</v>
      </c>
      <c r="E564" s="5">
        <v>39</v>
      </c>
      <c r="F564" s="1" t="s">
        <v>1297</v>
      </c>
      <c r="G564" s="1" t="s">
        <v>495</v>
      </c>
      <c r="H564" t="s">
        <v>2270</v>
      </c>
      <c r="I564" s="1" t="s">
        <v>17</v>
      </c>
      <c r="J564" s="1" t="s">
        <v>25</v>
      </c>
      <c r="K564" s="1" t="s">
        <v>31</v>
      </c>
      <c r="L564" s="1" t="s">
        <v>91</v>
      </c>
      <c r="M564" s="1" t="s">
        <v>1298</v>
      </c>
      <c r="N564" s="1" t="s">
        <v>60</v>
      </c>
      <c r="O564" s="1" t="s">
        <v>2276</v>
      </c>
    </row>
    <row r="565" spans="1:15" x14ac:dyDescent="0.25">
      <c r="A565">
        <v>1598</v>
      </c>
      <c r="B565" s="1" t="s">
        <v>354</v>
      </c>
      <c r="C565" s="1" t="str">
        <f t="shared" si="8"/>
        <v>Quebec</v>
      </c>
      <c r="D565" s="1" t="s">
        <v>73</v>
      </c>
      <c r="E565" s="5">
        <v>55</v>
      </c>
      <c r="F565" s="1" t="s">
        <v>1299</v>
      </c>
      <c r="G565" s="1" t="s">
        <v>1300</v>
      </c>
      <c r="H565" t="s">
        <v>2270</v>
      </c>
      <c r="I565" s="1" t="s">
        <v>24</v>
      </c>
      <c r="J565" s="1" t="s">
        <v>44</v>
      </c>
      <c r="K565" s="1" t="s">
        <v>19</v>
      </c>
      <c r="L565" s="1" t="s">
        <v>91</v>
      </c>
      <c r="M565" s="1" t="s">
        <v>1301</v>
      </c>
      <c r="N565" s="1" t="s">
        <v>22</v>
      </c>
      <c r="O565" s="1" t="s">
        <v>2276</v>
      </c>
    </row>
    <row r="566" spans="1:15" x14ac:dyDescent="0.25">
      <c r="A566">
        <v>1599</v>
      </c>
      <c r="B566" s="1" t="s">
        <v>354</v>
      </c>
      <c r="C566" s="1" t="str">
        <f t="shared" si="8"/>
        <v>Quebec</v>
      </c>
      <c r="D566" s="1" t="s">
        <v>73</v>
      </c>
      <c r="E566" s="5">
        <v>40</v>
      </c>
      <c r="F566" s="1" t="s">
        <v>1302</v>
      </c>
      <c r="G566" s="1" t="s">
        <v>32</v>
      </c>
      <c r="H566" t="s">
        <v>2270</v>
      </c>
      <c r="I566" s="1" t="s">
        <v>24</v>
      </c>
      <c r="J566" s="1" t="s">
        <v>44</v>
      </c>
      <c r="K566" s="1" t="s">
        <v>19</v>
      </c>
      <c r="L566" s="1" t="s">
        <v>20</v>
      </c>
      <c r="M566" s="1" t="s">
        <v>1303</v>
      </c>
      <c r="N566" s="1" t="s">
        <v>22</v>
      </c>
      <c r="O566" s="1" t="s">
        <v>2276</v>
      </c>
    </row>
    <row r="567" spans="1:15" x14ac:dyDescent="0.25">
      <c r="A567">
        <v>1600</v>
      </c>
      <c r="B567" s="1" t="s">
        <v>354</v>
      </c>
      <c r="C567" s="1" t="str">
        <f t="shared" si="8"/>
        <v>Quebec</v>
      </c>
      <c r="D567" s="1" t="s">
        <v>73</v>
      </c>
      <c r="E567" s="5">
        <v>63</v>
      </c>
      <c r="F567" s="1" t="s">
        <v>1304</v>
      </c>
      <c r="G567" s="1" t="s">
        <v>1305</v>
      </c>
      <c r="H567" t="s">
        <v>2270</v>
      </c>
      <c r="I567" s="1" t="s">
        <v>40</v>
      </c>
      <c r="J567" s="1" t="s">
        <v>44</v>
      </c>
      <c r="K567" s="1" t="s">
        <v>31</v>
      </c>
      <c r="L567" s="1" t="s">
        <v>91</v>
      </c>
      <c r="M567" s="1" t="s">
        <v>1306</v>
      </c>
      <c r="N567" s="1" t="s">
        <v>22</v>
      </c>
      <c r="O567" s="1" t="s">
        <v>2276</v>
      </c>
    </row>
    <row r="568" spans="1:15" x14ac:dyDescent="0.25">
      <c r="A568">
        <v>1601</v>
      </c>
      <c r="B568" s="1" t="s">
        <v>354</v>
      </c>
      <c r="C568" s="1" t="str">
        <f t="shared" si="8"/>
        <v>Quebec</v>
      </c>
      <c r="D568" s="1" t="s">
        <v>73</v>
      </c>
      <c r="E568" s="5">
        <v>43</v>
      </c>
      <c r="F568" s="1" t="s">
        <v>1307</v>
      </c>
      <c r="G568" s="1" t="s">
        <v>1308</v>
      </c>
      <c r="H568" t="s">
        <v>2270</v>
      </c>
      <c r="I568" s="1" t="s">
        <v>43</v>
      </c>
      <c r="J568" s="1" t="s">
        <v>44</v>
      </c>
      <c r="K568" s="1" t="s">
        <v>31</v>
      </c>
      <c r="L568" s="1" t="s">
        <v>45</v>
      </c>
      <c r="M568" s="1" t="s">
        <v>1309</v>
      </c>
      <c r="N568" s="1" t="s">
        <v>22</v>
      </c>
      <c r="O568" s="1" t="s">
        <v>2276</v>
      </c>
    </row>
    <row r="569" spans="1:15" x14ac:dyDescent="0.25">
      <c r="A569">
        <v>1602</v>
      </c>
      <c r="B569" s="1" t="s">
        <v>354</v>
      </c>
      <c r="C569" s="1" t="str">
        <f t="shared" si="8"/>
        <v>Quebec</v>
      </c>
      <c r="D569" s="1" t="s">
        <v>73</v>
      </c>
      <c r="E569" s="5">
        <v>43</v>
      </c>
      <c r="F569" s="1" t="s">
        <v>1310</v>
      </c>
      <c r="G569" s="1" t="s">
        <v>1311</v>
      </c>
      <c r="H569" t="s">
        <v>2270</v>
      </c>
      <c r="I569" s="1" t="s">
        <v>40</v>
      </c>
      <c r="J569" s="1" t="s">
        <v>44</v>
      </c>
      <c r="K569" s="1" t="s">
        <v>31</v>
      </c>
      <c r="L569" s="1" t="s">
        <v>91</v>
      </c>
      <c r="M569" s="1" t="s">
        <v>1312</v>
      </c>
      <c r="N569" s="1" t="s">
        <v>22</v>
      </c>
      <c r="O569" s="1" t="s">
        <v>2276</v>
      </c>
    </row>
    <row r="570" spans="1:15" x14ac:dyDescent="0.25">
      <c r="A570">
        <v>1603</v>
      </c>
      <c r="B570" s="1" t="s">
        <v>354</v>
      </c>
      <c r="C570" s="1" t="str">
        <f t="shared" si="8"/>
        <v>Quebec</v>
      </c>
      <c r="D570" s="1" t="s">
        <v>73</v>
      </c>
      <c r="E570" s="5">
        <v>47</v>
      </c>
      <c r="F570" s="1" t="s">
        <v>1313</v>
      </c>
      <c r="G570" s="1" t="s">
        <v>1314</v>
      </c>
      <c r="H570" t="s">
        <v>2270</v>
      </c>
      <c r="I570" s="1" t="s">
        <v>24</v>
      </c>
      <c r="J570" s="1" t="s">
        <v>25</v>
      </c>
      <c r="K570" s="1" t="s">
        <v>19</v>
      </c>
      <c r="L570" s="1" t="s">
        <v>20</v>
      </c>
      <c r="M570" s="1" t="s">
        <v>1315</v>
      </c>
      <c r="N570" s="1" t="s">
        <v>60</v>
      </c>
      <c r="O570" s="1" t="s">
        <v>2276</v>
      </c>
    </row>
    <row r="571" spans="1:15" x14ac:dyDescent="0.25">
      <c r="A571">
        <v>1604</v>
      </c>
      <c r="B571" s="1" t="s">
        <v>354</v>
      </c>
      <c r="C571" s="1" t="str">
        <f t="shared" si="8"/>
        <v>Quebec</v>
      </c>
      <c r="D571" s="1" t="s">
        <v>73</v>
      </c>
      <c r="E571" s="5">
        <v>56</v>
      </c>
      <c r="F571" s="1" t="s">
        <v>1316</v>
      </c>
      <c r="G571" s="1" t="s">
        <v>1317</v>
      </c>
      <c r="H571" t="s">
        <v>2270</v>
      </c>
      <c r="I571" s="1" t="s">
        <v>43</v>
      </c>
      <c r="J571" s="1" t="s">
        <v>44</v>
      </c>
      <c r="K571" s="1" t="s">
        <v>31</v>
      </c>
      <c r="L571" s="1" t="s">
        <v>45</v>
      </c>
      <c r="M571" s="1" t="s">
        <v>1318</v>
      </c>
      <c r="N571" s="1" t="s">
        <v>22</v>
      </c>
      <c r="O571" s="1" t="s">
        <v>2276</v>
      </c>
    </row>
    <row r="572" spans="1:15" x14ac:dyDescent="0.25">
      <c r="A572">
        <v>1605</v>
      </c>
      <c r="B572" s="1" t="s">
        <v>354</v>
      </c>
      <c r="C572" s="1" t="str">
        <f t="shared" si="8"/>
        <v>Quebec</v>
      </c>
      <c r="D572" s="1" t="s">
        <v>73</v>
      </c>
      <c r="E572" s="5">
        <v>48</v>
      </c>
      <c r="F572" s="1" t="s">
        <v>47</v>
      </c>
      <c r="G572" s="1" t="s">
        <v>1319</v>
      </c>
      <c r="H572" t="s">
        <v>2270</v>
      </c>
      <c r="I572" s="1" t="s">
        <v>43</v>
      </c>
      <c r="J572" s="1" t="s">
        <v>25</v>
      </c>
      <c r="K572" s="1" t="s">
        <v>31</v>
      </c>
      <c r="L572" s="1" t="s">
        <v>45</v>
      </c>
      <c r="M572" s="1" t="s">
        <v>1320</v>
      </c>
      <c r="N572" s="1" t="s">
        <v>22</v>
      </c>
      <c r="O572" s="1" t="s">
        <v>2276</v>
      </c>
    </row>
    <row r="573" spans="1:15" x14ac:dyDescent="0.25">
      <c r="A573">
        <v>1606</v>
      </c>
      <c r="B573" s="1" t="s">
        <v>354</v>
      </c>
      <c r="C573" s="1" t="str">
        <f t="shared" si="8"/>
        <v>Quebec</v>
      </c>
      <c r="D573" s="1" t="s">
        <v>73</v>
      </c>
      <c r="E573" s="5">
        <v>49</v>
      </c>
      <c r="F573" s="1" t="s">
        <v>1321</v>
      </c>
      <c r="G573" s="1" t="s">
        <v>1322</v>
      </c>
      <c r="H573" t="s">
        <v>2270</v>
      </c>
      <c r="I573" s="1" t="s">
        <v>43</v>
      </c>
      <c r="J573" s="1" t="s">
        <v>25</v>
      </c>
      <c r="K573" s="1" t="s">
        <v>31</v>
      </c>
      <c r="L573" s="1" t="s">
        <v>45</v>
      </c>
      <c r="M573" s="1" t="s">
        <v>1323</v>
      </c>
      <c r="N573" s="1" t="s">
        <v>22</v>
      </c>
      <c r="O573" s="1" t="s">
        <v>2276</v>
      </c>
    </row>
    <row r="574" spans="1:15" x14ac:dyDescent="0.25">
      <c r="A574">
        <v>1607</v>
      </c>
      <c r="B574" s="1" t="s">
        <v>354</v>
      </c>
      <c r="C574" s="1" t="str">
        <f t="shared" si="8"/>
        <v>Quebec</v>
      </c>
      <c r="D574" s="1" t="s">
        <v>73</v>
      </c>
      <c r="E574" s="5">
        <v>48</v>
      </c>
      <c r="F574" s="1" t="s">
        <v>912</v>
      </c>
      <c r="G574" s="1" t="s">
        <v>32</v>
      </c>
      <c r="H574" t="s">
        <v>2270</v>
      </c>
      <c r="I574" s="1" t="s">
        <v>24</v>
      </c>
      <c r="J574" s="1" t="s">
        <v>25</v>
      </c>
      <c r="K574" s="1" t="s">
        <v>19</v>
      </c>
      <c r="L574" s="1" t="s">
        <v>20</v>
      </c>
      <c r="M574" s="1" t="s">
        <v>1324</v>
      </c>
      <c r="N574" s="1" t="s">
        <v>22</v>
      </c>
      <c r="O574" s="1" t="s">
        <v>2276</v>
      </c>
    </row>
    <row r="575" spans="1:15" x14ac:dyDescent="0.25">
      <c r="A575">
        <v>1608</v>
      </c>
      <c r="B575" s="1" t="s">
        <v>354</v>
      </c>
      <c r="C575" s="1" t="str">
        <f t="shared" si="8"/>
        <v>Quebec</v>
      </c>
      <c r="D575" s="1" t="s">
        <v>73</v>
      </c>
      <c r="E575" s="5">
        <v>49</v>
      </c>
      <c r="F575" s="1" t="s">
        <v>1325</v>
      </c>
      <c r="G575" s="1" t="s">
        <v>1326</v>
      </c>
      <c r="H575" t="s">
        <v>2270</v>
      </c>
      <c r="I575" s="1" t="s">
        <v>43</v>
      </c>
      <c r="J575" s="1" t="s">
        <v>44</v>
      </c>
      <c r="K575" s="1" t="s">
        <v>31</v>
      </c>
      <c r="L575" s="1" t="s">
        <v>32</v>
      </c>
      <c r="M575" s="1" t="s">
        <v>1327</v>
      </c>
      <c r="N575" s="1" t="s">
        <v>22</v>
      </c>
      <c r="O575" s="1" t="s">
        <v>2276</v>
      </c>
    </row>
    <row r="576" spans="1:15" x14ac:dyDescent="0.25">
      <c r="A576">
        <v>1609</v>
      </c>
      <c r="B576" s="1" t="s">
        <v>354</v>
      </c>
      <c r="C576" s="1" t="str">
        <f t="shared" si="8"/>
        <v>Quebec</v>
      </c>
      <c r="D576" s="1" t="s">
        <v>28</v>
      </c>
      <c r="E576" s="5">
        <v>55</v>
      </c>
      <c r="F576" s="1" t="s">
        <v>1328</v>
      </c>
      <c r="G576" s="1" t="s">
        <v>1329</v>
      </c>
      <c r="H576" t="s">
        <v>2270</v>
      </c>
      <c r="I576" s="1" t="s">
        <v>40</v>
      </c>
      <c r="J576" s="1" t="s">
        <v>44</v>
      </c>
      <c r="K576" s="1" t="s">
        <v>31</v>
      </c>
      <c r="L576" s="1" t="s">
        <v>91</v>
      </c>
      <c r="M576" s="1" t="s">
        <v>1330</v>
      </c>
      <c r="N576" s="1" t="s">
        <v>60</v>
      </c>
      <c r="O576" s="1" t="s">
        <v>2276</v>
      </c>
    </row>
    <row r="577" spans="1:15" x14ac:dyDescent="0.25">
      <c r="A577">
        <v>1610</v>
      </c>
      <c r="B577" s="1" t="s">
        <v>354</v>
      </c>
      <c r="C577" s="1" t="str">
        <f t="shared" si="8"/>
        <v>Quebec</v>
      </c>
      <c r="D577" s="1" t="s">
        <v>28</v>
      </c>
      <c r="E577" s="5">
        <v>72</v>
      </c>
      <c r="F577" s="1" t="s">
        <v>1331</v>
      </c>
      <c r="G577" s="1" t="s">
        <v>1332</v>
      </c>
      <c r="H577" t="s">
        <v>2270</v>
      </c>
      <c r="I577" s="1" t="s">
        <v>43</v>
      </c>
      <c r="J577" s="1" t="s">
        <v>44</v>
      </c>
      <c r="K577" s="1" t="s">
        <v>31</v>
      </c>
      <c r="L577" s="1" t="s">
        <v>91</v>
      </c>
      <c r="M577" s="1" t="s">
        <v>1333</v>
      </c>
      <c r="N577" s="1" t="s">
        <v>22</v>
      </c>
      <c r="O577" s="1" t="s">
        <v>2276</v>
      </c>
    </row>
    <row r="578" spans="1:15" x14ac:dyDescent="0.25">
      <c r="A578">
        <v>1611</v>
      </c>
      <c r="B578" s="1" t="s">
        <v>354</v>
      </c>
      <c r="C578" s="1" t="str">
        <f t="shared" ref="C578:C641" si="9">IF(B578="NB","New Brunswick",IF(B578="AB","Alberta",IF(B578="BC","British Columbia",IF(B578="MB","Manitoba",IF(B578="NL","Newfoundland and Labrador",IF(B578="NS","Nova Scotia",IF(B578="ON","Ontario",IF(B578="PE","Prince Edward Island",IF(B578="QC","Quebec",IF(B578="SK","Saskatchewan",""))))))))))</f>
        <v>Quebec</v>
      </c>
      <c r="D578" s="1" t="s">
        <v>28</v>
      </c>
      <c r="E578" s="5">
        <v>43</v>
      </c>
      <c r="F578" s="1" t="s">
        <v>32</v>
      </c>
      <c r="G578" s="1" t="s">
        <v>1334</v>
      </c>
      <c r="H578" t="s">
        <v>2270</v>
      </c>
      <c r="I578" s="1" t="s">
        <v>24</v>
      </c>
      <c r="J578" s="1" t="s">
        <v>44</v>
      </c>
      <c r="K578" s="1" t="s">
        <v>31</v>
      </c>
      <c r="L578" s="1" t="s">
        <v>91</v>
      </c>
      <c r="M578" s="1" t="s">
        <v>1335</v>
      </c>
      <c r="N578" s="1" t="s">
        <v>22</v>
      </c>
      <c r="O578" s="1" t="s">
        <v>2276</v>
      </c>
    </row>
    <row r="579" spans="1:15" x14ac:dyDescent="0.25">
      <c r="A579">
        <v>1612</v>
      </c>
      <c r="B579" s="1" t="s">
        <v>354</v>
      </c>
      <c r="C579" s="1" t="str">
        <f t="shared" si="9"/>
        <v>Quebec</v>
      </c>
      <c r="D579" s="1" t="s">
        <v>28</v>
      </c>
      <c r="E579" s="5">
        <v>42</v>
      </c>
      <c r="F579" s="1" t="s">
        <v>1336</v>
      </c>
      <c r="G579" s="1" t="s">
        <v>1337</v>
      </c>
      <c r="H579" t="s">
        <v>2270</v>
      </c>
      <c r="I579" s="1" t="s">
        <v>17</v>
      </c>
      <c r="J579" s="1" t="s">
        <v>44</v>
      </c>
      <c r="K579" s="1" t="s">
        <v>31</v>
      </c>
      <c r="L579" s="1" t="s">
        <v>32</v>
      </c>
      <c r="M579" s="1" t="s">
        <v>1338</v>
      </c>
      <c r="N579" s="1" t="s">
        <v>22</v>
      </c>
      <c r="O579" s="1" t="s">
        <v>2276</v>
      </c>
    </row>
    <row r="580" spans="1:15" x14ac:dyDescent="0.25">
      <c r="A580">
        <v>1613</v>
      </c>
      <c r="B580" s="1" t="s">
        <v>354</v>
      </c>
      <c r="C580" s="1" t="str">
        <f t="shared" si="9"/>
        <v>Quebec</v>
      </c>
      <c r="D580" s="1" t="s">
        <v>28</v>
      </c>
      <c r="E580" s="5">
        <v>42</v>
      </c>
      <c r="F580" s="1" t="s">
        <v>1339</v>
      </c>
      <c r="G580" s="1" t="s">
        <v>1340</v>
      </c>
      <c r="H580" t="s">
        <v>2270</v>
      </c>
      <c r="I580" s="1" t="s">
        <v>17</v>
      </c>
      <c r="J580" s="1" t="s">
        <v>44</v>
      </c>
      <c r="K580" s="1" t="s">
        <v>31</v>
      </c>
      <c r="L580" s="1" t="s">
        <v>32</v>
      </c>
      <c r="M580" s="1" t="s">
        <v>1341</v>
      </c>
      <c r="N580" s="1" t="s">
        <v>22</v>
      </c>
      <c r="O580" s="1" t="s">
        <v>2276</v>
      </c>
    </row>
    <row r="581" spans="1:15" x14ac:dyDescent="0.25">
      <c r="A581">
        <v>1614</v>
      </c>
      <c r="B581" s="1" t="s">
        <v>354</v>
      </c>
      <c r="C581" s="1" t="str">
        <f t="shared" si="9"/>
        <v>Quebec</v>
      </c>
      <c r="D581" s="1" t="s">
        <v>28</v>
      </c>
      <c r="E581" s="5">
        <v>62</v>
      </c>
      <c r="F581" s="1" t="s">
        <v>32</v>
      </c>
      <c r="G581" s="1" t="s">
        <v>1342</v>
      </c>
      <c r="H581" t="s">
        <v>2270</v>
      </c>
      <c r="I581" s="1" t="s">
        <v>40</v>
      </c>
      <c r="J581" s="1" t="s">
        <v>44</v>
      </c>
      <c r="K581" s="1" t="s">
        <v>31</v>
      </c>
      <c r="L581" s="1" t="s">
        <v>91</v>
      </c>
      <c r="M581" s="1" t="s">
        <v>1343</v>
      </c>
      <c r="N581" s="1" t="s">
        <v>22</v>
      </c>
      <c r="O581" s="1" t="s">
        <v>2276</v>
      </c>
    </row>
    <row r="582" spans="1:15" x14ac:dyDescent="0.25">
      <c r="A582">
        <v>1615</v>
      </c>
      <c r="B582" s="1" t="s">
        <v>354</v>
      </c>
      <c r="C582" s="1" t="str">
        <f t="shared" si="9"/>
        <v>Quebec</v>
      </c>
      <c r="D582" s="1" t="s">
        <v>28</v>
      </c>
      <c r="E582" s="5">
        <v>43</v>
      </c>
      <c r="F582" s="1" t="s">
        <v>1344</v>
      </c>
      <c r="G582" s="1" t="s">
        <v>1345</v>
      </c>
      <c r="H582" t="s">
        <v>2270</v>
      </c>
      <c r="I582" s="1" t="s">
        <v>24</v>
      </c>
      <c r="J582" s="1" t="s">
        <v>44</v>
      </c>
      <c r="K582" s="1" t="s">
        <v>31</v>
      </c>
      <c r="L582" s="1" t="s">
        <v>91</v>
      </c>
      <c r="M582" s="1" t="s">
        <v>1346</v>
      </c>
      <c r="N582" s="1" t="s">
        <v>22</v>
      </c>
      <c r="O582" s="1" t="s">
        <v>2276</v>
      </c>
    </row>
    <row r="583" spans="1:15" x14ac:dyDescent="0.25">
      <c r="A583">
        <v>1616</v>
      </c>
      <c r="B583" s="1" t="s">
        <v>354</v>
      </c>
      <c r="C583" s="1" t="str">
        <f t="shared" si="9"/>
        <v>Quebec</v>
      </c>
      <c r="D583" s="1" t="s">
        <v>28</v>
      </c>
      <c r="E583" s="5">
        <v>58</v>
      </c>
      <c r="F583" s="1" t="s">
        <v>1347</v>
      </c>
      <c r="G583" s="1" t="s">
        <v>1348</v>
      </c>
      <c r="H583" t="s">
        <v>2270</v>
      </c>
      <c r="I583" s="1" t="s">
        <v>40</v>
      </c>
      <c r="J583" s="1" t="s">
        <v>44</v>
      </c>
      <c r="K583" s="1" t="s">
        <v>31</v>
      </c>
      <c r="L583" s="1" t="s">
        <v>91</v>
      </c>
      <c r="M583" s="1" t="s">
        <v>1349</v>
      </c>
      <c r="N583" s="1" t="s">
        <v>22</v>
      </c>
      <c r="O583" s="1" t="s">
        <v>2276</v>
      </c>
    </row>
    <row r="584" spans="1:15" x14ac:dyDescent="0.25">
      <c r="A584">
        <v>1617</v>
      </c>
      <c r="B584" s="1" t="s">
        <v>354</v>
      </c>
      <c r="C584" s="1" t="str">
        <f t="shared" si="9"/>
        <v>Quebec</v>
      </c>
      <c r="D584" s="1" t="s">
        <v>28</v>
      </c>
      <c r="E584" s="5">
        <v>52</v>
      </c>
      <c r="F584" s="1" t="s">
        <v>331</v>
      </c>
      <c r="G584" s="1" t="s">
        <v>1350</v>
      </c>
      <c r="H584" t="s">
        <v>2270</v>
      </c>
      <c r="I584" s="1" t="s">
        <v>43</v>
      </c>
      <c r="J584" s="1" t="s">
        <v>44</v>
      </c>
      <c r="K584" s="1" t="s">
        <v>31</v>
      </c>
      <c r="L584" s="1" t="s">
        <v>45</v>
      </c>
      <c r="M584" s="1" t="s">
        <v>1351</v>
      </c>
      <c r="N584" s="1" t="s">
        <v>22</v>
      </c>
      <c r="O584" s="1" t="s">
        <v>2276</v>
      </c>
    </row>
    <row r="585" spans="1:15" x14ac:dyDescent="0.25">
      <c r="A585">
        <v>1618</v>
      </c>
      <c r="B585" s="1" t="s">
        <v>354</v>
      </c>
      <c r="C585" s="1" t="str">
        <f t="shared" si="9"/>
        <v>Quebec</v>
      </c>
      <c r="D585" s="1" t="s">
        <v>28</v>
      </c>
      <c r="E585" s="5">
        <v>55</v>
      </c>
      <c r="F585" s="1" t="s">
        <v>1352</v>
      </c>
      <c r="G585" s="1" t="s">
        <v>1353</v>
      </c>
      <c r="H585" t="s">
        <v>2270</v>
      </c>
      <c r="I585" s="1" t="s">
        <v>24</v>
      </c>
      <c r="J585" s="1" t="s">
        <v>44</v>
      </c>
      <c r="K585" s="1" t="s">
        <v>31</v>
      </c>
      <c r="L585" s="1" t="s">
        <v>91</v>
      </c>
      <c r="M585" s="1" t="s">
        <v>1354</v>
      </c>
      <c r="N585" s="1" t="s">
        <v>22</v>
      </c>
      <c r="O585" s="1" t="s">
        <v>2276</v>
      </c>
    </row>
    <row r="586" spans="1:15" x14ac:dyDescent="0.25">
      <c r="A586">
        <v>1619</v>
      </c>
      <c r="B586" s="1" t="s">
        <v>354</v>
      </c>
      <c r="C586" s="1" t="str">
        <f t="shared" si="9"/>
        <v>Quebec</v>
      </c>
      <c r="D586" s="1" t="s">
        <v>28</v>
      </c>
      <c r="E586" s="5">
        <v>58</v>
      </c>
      <c r="F586" s="1" t="s">
        <v>651</v>
      </c>
      <c r="G586" s="1" t="s">
        <v>1355</v>
      </c>
      <c r="H586" t="s">
        <v>2270</v>
      </c>
      <c r="I586" s="1" t="s">
        <v>40</v>
      </c>
      <c r="J586" s="1" t="s">
        <v>44</v>
      </c>
      <c r="K586" s="1" t="s">
        <v>31</v>
      </c>
      <c r="L586" s="1" t="s">
        <v>91</v>
      </c>
      <c r="M586" s="1" t="s">
        <v>1356</v>
      </c>
      <c r="N586" s="1" t="s">
        <v>22</v>
      </c>
      <c r="O586" s="1" t="s">
        <v>2276</v>
      </c>
    </row>
    <row r="587" spans="1:15" x14ac:dyDescent="0.25">
      <c r="A587">
        <v>1620</v>
      </c>
      <c r="B587" s="1" t="s">
        <v>354</v>
      </c>
      <c r="C587" s="1" t="str">
        <f t="shared" si="9"/>
        <v>Quebec</v>
      </c>
      <c r="D587" s="1" t="s">
        <v>73</v>
      </c>
      <c r="E587" s="5">
        <v>63</v>
      </c>
      <c r="F587" s="1" t="s">
        <v>1357</v>
      </c>
      <c r="G587" s="1" t="s">
        <v>1358</v>
      </c>
      <c r="H587" t="s">
        <v>2270</v>
      </c>
      <c r="I587" s="1" t="s">
        <v>40</v>
      </c>
      <c r="J587" s="1" t="s">
        <v>44</v>
      </c>
      <c r="K587" s="1" t="s">
        <v>31</v>
      </c>
      <c r="L587" s="1" t="s">
        <v>91</v>
      </c>
      <c r="M587" s="1" t="s">
        <v>1359</v>
      </c>
      <c r="N587" s="1" t="s">
        <v>22</v>
      </c>
      <c r="O587" s="1" t="s">
        <v>2276</v>
      </c>
    </row>
    <row r="588" spans="1:15" x14ac:dyDescent="0.25">
      <c r="A588">
        <v>1621</v>
      </c>
      <c r="B588" s="1" t="s">
        <v>354</v>
      </c>
      <c r="C588" s="1" t="str">
        <f t="shared" si="9"/>
        <v>Quebec</v>
      </c>
      <c r="D588" s="1" t="s">
        <v>73</v>
      </c>
      <c r="E588" s="5">
        <v>65</v>
      </c>
      <c r="F588" s="1" t="s">
        <v>1360</v>
      </c>
      <c r="G588" s="1" t="s">
        <v>1361</v>
      </c>
      <c r="H588" t="s">
        <v>2270</v>
      </c>
      <c r="I588" s="1" t="s">
        <v>24</v>
      </c>
      <c r="J588" s="1" t="s">
        <v>44</v>
      </c>
      <c r="K588" s="1" t="s">
        <v>31</v>
      </c>
      <c r="L588" s="1" t="s">
        <v>91</v>
      </c>
      <c r="M588" s="1" t="s">
        <v>1362</v>
      </c>
      <c r="N588" s="1" t="s">
        <v>22</v>
      </c>
      <c r="O588" s="1" t="s">
        <v>2276</v>
      </c>
    </row>
    <row r="589" spans="1:15" x14ac:dyDescent="0.25">
      <c r="A589">
        <v>1622</v>
      </c>
      <c r="B589" s="1" t="s">
        <v>354</v>
      </c>
      <c r="C589" s="1" t="str">
        <f t="shared" si="9"/>
        <v>Quebec</v>
      </c>
      <c r="D589" s="1" t="s">
        <v>73</v>
      </c>
      <c r="E589" s="5">
        <v>40</v>
      </c>
      <c r="F589" s="1" t="s">
        <v>47</v>
      </c>
      <c r="G589" s="1" t="s">
        <v>1363</v>
      </c>
      <c r="H589" t="s">
        <v>2270</v>
      </c>
      <c r="I589" s="1" t="s">
        <v>17</v>
      </c>
      <c r="J589" s="1" t="s">
        <v>44</v>
      </c>
      <c r="K589" s="1" t="s">
        <v>31</v>
      </c>
      <c r="L589" s="1" t="s">
        <v>91</v>
      </c>
      <c r="M589" s="1" t="s">
        <v>1364</v>
      </c>
      <c r="N589" s="1" t="s">
        <v>22</v>
      </c>
      <c r="O589" s="1" t="s">
        <v>2276</v>
      </c>
    </row>
    <row r="590" spans="1:15" x14ac:dyDescent="0.25">
      <c r="A590">
        <v>1623</v>
      </c>
      <c r="B590" s="1" t="s">
        <v>354</v>
      </c>
      <c r="C590" s="1" t="str">
        <f t="shared" si="9"/>
        <v>Quebec</v>
      </c>
      <c r="D590" s="1" t="s">
        <v>73</v>
      </c>
      <c r="E590" s="5">
        <v>40</v>
      </c>
      <c r="F590" s="1" t="s">
        <v>1365</v>
      </c>
      <c r="G590" s="1" t="s">
        <v>1366</v>
      </c>
      <c r="H590" t="s">
        <v>2270</v>
      </c>
      <c r="I590" s="1" t="s">
        <v>17</v>
      </c>
      <c r="J590" s="1" t="s">
        <v>44</v>
      </c>
      <c r="K590" s="1" t="s">
        <v>31</v>
      </c>
      <c r="L590" s="1" t="s">
        <v>32</v>
      </c>
      <c r="M590" s="1" t="s">
        <v>1367</v>
      </c>
      <c r="N590" s="1" t="s">
        <v>22</v>
      </c>
      <c r="O590" s="1" t="s">
        <v>2276</v>
      </c>
    </row>
    <row r="591" spans="1:15" x14ac:dyDescent="0.25">
      <c r="A591">
        <v>1624</v>
      </c>
      <c r="B591" s="1" t="s">
        <v>354</v>
      </c>
      <c r="C591" s="1" t="str">
        <f t="shared" si="9"/>
        <v>Quebec</v>
      </c>
      <c r="D591" s="1" t="s">
        <v>73</v>
      </c>
      <c r="E591" s="5">
        <v>41</v>
      </c>
      <c r="F591" s="1" t="s">
        <v>1368</v>
      </c>
      <c r="G591" s="1" t="s">
        <v>114</v>
      </c>
      <c r="H591" t="s">
        <v>2270</v>
      </c>
      <c r="I591" s="1" t="s">
        <v>24</v>
      </c>
      <c r="J591" s="1" t="s">
        <v>44</v>
      </c>
      <c r="K591" s="1" t="s">
        <v>31</v>
      </c>
      <c r="L591" s="1" t="s">
        <v>20</v>
      </c>
      <c r="M591" s="1" t="s">
        <v>1369</v>
      </c>
      <c r="N591" s="1" t="s">
        <v>22</v>
      </c>
      <c r="O591" s="1" t="s">
        <v>2276</v>
      </c>
    </row>
    <row r="592" spans="1:15" x14ac:dyDescent="0.25">
      <c r="A592">
        <v>1625</v>
      </c>
      <c r="B592" s="1" t="s">
        <v>354</v>
      </c>
      <c r="C592" s="1" t="str">
        <f t="shared" si="9"/>
        <v>Quebec</v>
      </c>
      <c r="D592" s="1" t="s">
        <v>73</v>
      </c>
      <c r="E592" s="5">
        <v>43</v>
      </c>
      <c r="F592" s="1" t="s">
        <v>1370</v>
      </c>
      <c r="G592" s="1" t="s">
        <v>1371</v>
      </c>
      <c r="H592" t="s">
        <v>2270</v>
      </c>
      <c r="I592" s="1" t="s">
        <v>24</v>
      </c>
      <c r="J592" s="1" t="s">
        <v>44</v>
      </c>
      <c r="K592" s="1" t="s">
        <v>19</v>
      </c>
      <c r="L592" s="1" t="s">
        <v>20</v>
      </c>
      <c r="M592" s="1" t="s">
        <v>1372</v>
      </c>
      <c r="N592" s="1" t="s">
        <v>22</v>
      </c>
      <c r="O592" s="1" t="s">
        <v>2276</v>
      </c>
    </row>
    <row r="593" spans="1:15" x14ac:dyDescent="0.25">
      <c r="A593">
        <v>1626</v>
      </c>
      <c r="B593" s="1" t="s">
        <v>354</v>
      </c>
      <c r="C593" s="1" t="str">
        <f t="shared" si="9"/>
        <v>Quebec</v>
      </c>
      <c r="D593" s="1" t="s">
        <v>73</v>
      </c>
      <c r="E593" s="5">
        <v>43</v>
      </c>
      <c r="F593" s="1" t="s">
        <v>983</v>
      </c>
      <c r="G593" s="1" t="s">
        <v>1373</v>
      </c>
      <c r="H593" t="s">
        <v>2270</v>
      </c>
      <c r="I593" s="1" t="s">
        <v>24</v>
      </c>
      <c r="J593" s="1" t="s">
        <v>44</v>
      </c>
      <c r="K593" s="1" t="s">
        <v>31</v>
      </c>
      <c r="L593" s="1" t="s">
        <v>91</v>
      </c>
      <c r="M593" s="1" t="s">
        <v>1374</v>
      </c>
      <c r="N593" s="1" t="s">
        <v>22</v>
      </c>
      <c r="O593" s="1" t="s">
        <v>2276</v>
      </c>
    </row>
    <row r="594" spans="1:15" x14ac:dyDescent="0.25">
      <c r="A594">
        <v>1627</v>
      </c>
      <c r="B594" s="1" t="s">
        <v>354</v>
      </c>
      <c r="C594" s="1" t="str">
        <f t="shared" si="9"/>
        <v>Quebec</v>
      </c>
      <c r="D594" s="1" t="s">
        <v>73</v>
      </c>
      <c r="E594" s="5">
        <v>63</v>
      </c>
      <c r="F594" s="1" t="s">
        <v>1375</v>
      </c>
      <c r="G594" s="1" t="s">
        <v>1376</v>
      </c>
      <c r="H594" t="s">
        <v>2270</v>
      </c>
      <c r="I594" s="1" t="s">
        <v>40</v>
      </c>
      <c r="J594" s="1" t="s">
        <v>44</v>
      </c>
      <c r="K594" s="1" t="s">
        <v>31</v>
      </c>
      <c r="L594" s="1" t="s">
        <v>91</v>
      </c>
      <c r="M594" s="1" t="s">
        <v>1377</v>
      </c>
      <c r="N594" s="1" t="s">
        <v>22</v>
      </c>
      <c r="O594" s="1" t="s">
        <v>2276</v>
      </c>
    </row>
    <row r="595" spans="1:15" x14ac:dyDescent="0.25">
      <c r="A595">
        <v>1628</v>
      </c>
      <c r="B595" s="1" t="s">
        <v>354</v>
      </c>
      <c r="C595" s="1" t="str">
        <f t="shared" si="9"/>
        <v>Quebec</v>
      </c>
      <c r="D595" s="1" t="s">
        <v>73</v>
      </c>
      <c r="E595" s="5">
        <v>57</v>
      </c>
      <c r="F595" s="1" t="s">
        <v>1378</v>
      </c>
      <c r="G595" s="1" t="s">
        <v>1379</v>
      </c>
      <c r="H595" t="s">
        <v>2270</v>
      </c>
      <c r="I595" s="1" t="s">
        <v>43</v>
      </c>
      <c r="J595" s="1" t="s">
        <v>44</v>
      </c>
      <c r="K595" s="1" t="s">
        <v>31</v>
      </c>
      <c r="L595" s="1" t="s">
        <v>45</v>
      </c>
      <c r="M595" s="1" t="s">
        <v>1380</v>
      </c>
      <c r="N595" s="1" t="s">
        <v>22</v>
      </c>
      <c r="O595" s="1" t="s">
        <v>2276</v>
      </c>
    </row>
    <row r="596" spans="1:15" x14ac:dyDescent="0.25">
      <c r="A596">
        <v>1629</v>
      </c>
      <c r="B596" s="1" t="s">
        <v>354</v>
      </c>
      <c r="C596" s="1" t="str">
        <f t="shared" si="9"/>
        <v>Quebec</v>
      </c>
      <c r="D596" s="1" t="s">
        <v>73</v>
      </c>
      <c r="E596" s="5">
        <v>42</v>
      </c>
      <c r="F596" s="1" t="s">
        <v>1381</v>
      </c>
      <c r="G596" s="1" t="s">
        <v>1382</v>
      </c>
      <c r="H596" t="s">
        <v>2270</v>
      </c>
      <c r="I596" s="1" t="s">
        <v>17</v>
      </c>
      <c r="J596" s="1" t="s">
        <v>25</v>
      </c>
      <c r="K596" s="1" t="s">
        <v>31</v>
      </c>
      <c r="L596" s="1" t="s">
        <v>91</v>
      </c>
      <c r="M596" s="1" t="s">
        <v>1383</v>
      </c>
      <c r="N596" s="1" t="s">
        <v>22</v>
      </c>
      <c r="O596" s="1" t="s">
        <v>2276</v>
      </c>
    </row>
    <row r="597" spans="1:15" x14ac:dyDescent="0.25">
      <c r="A597">
        <v>1630</v>
      </c>
      <c r="B597" s="1" t="s">
        <v>354</v>
      </c>
      <c r="C597" s="1" t="str">
        <f t="shared" si="9"/>
        <v>Quebec</v>
      </c>
      <c r="D597" s="1" t="s">
        <v>73</v>
      </c>
      <c r="E597" s="5">
        <v>39</v>
      </c>
      <c r="F597" s="1" t="s">
        <v>32</v>
      </c>
      <c r="G597" s="1" t="s">
        <v>452</v>
      </c>
      <c r="H597" t="s">
        <v>2270</v>
      </c>
      <c r="I597" s="1" t="s">
        <v>17</v>
      </c>
      <c r="J597" s="1" t="s">
        <v>25</v>
      </c>
      <c r="K597" s="1" t="s">
        <v>31</v>
      </c>
      <c r="L597" s="1" t="s">
        <v>91</v>
      </c>
      <c r="M597" s="1" t="s">
        <v>1384</v>
      </c>
      <c r="N597" s="1" t="s">
        <v>60</v>
      </c>
      <c r="O597" s="1" t="s">
        <v>2276</v>
      </c>
    </row>
    <row r="598" spans="1:15" x14ac:dyDescent="0.25">
      <c r="A598">
        <v>1631</v>
      </c>
      <c r="B598" s="1" t="s">
        <v>354</v>
      </c>
      <c r="C598" s="1" t="str">
        <f t="shared" si="9"/>
        <v>Quebec</v>
      </c>
      <c r="D598" s="1" t="s">
        <v>73</v>
      </c>
      <c r="E598" s="5">
        <v>39</v>
      </c>
      <c r="F598" s="1" t="s">
        <v>32</v>
      </c>
      <c r="G598" s="1" t="s">
        <v>1385</v>
      </c>
      <c r="H598" t="s">
        <v>2270</v>
      </c>
      <c r="I598" s="1" t="s">
        <v>17</v>
      </c>
      <c r="J598" s="1" t="s">
        <v>18</v>
      </c>
      <c r="K598" s="1" t="s">
        <v>107</v>
      </c>
      <c r="L598" s="1" t="s">
        <v>32</v>
      </c>
      <c r="M598" s="1" t="s">
        <v>1386</v>
      </c>
      <c r="N598" s="1" t="s">
        <v>60</v>
      </c>
      <c r="O598" s="1" t="s">
        <v>2276</v>
      </c>
    </row>
    <row r="599" spans="1:15" x14ac:dyDescent="0.25">
      <c r="A599">
        <v>1632</v>
      </c>
      <c r="B599" s="1" t="s">
        <v>354</v>
      </c>
      <c r="C599" s="1" t="str">
        <f t="shared" si="9"/>
        <v>Quebec</v>
      </c>
      <c r="D599" s="1" t="s">
        <v>73</v>
      </c>
      <c r="E599" s="5">
        <v>39</v>
      </c>
      <c r="F599" s="1" t="s">
        <v>1387</v>
      </c>
      <c r="G599" s="1" t="s">
        <v>1388</v>
      </c>
      <c r="H599" t="s">
        <v>2270</v>
      </c>
      <c r="I599" s="1" t="s">
        <v>17</v>
      </c>
      <c r="J599" s="1" t="s">
        <v>25</v>
      </c>
      <c r="K599" s="1" t="s">
        <v>19</v>
      </c>
      <c r="L599" s="1" t="s">
        <v>91</v>
      </c>
      <c r="M599" s="1" t="s">
        <v>1389</v>
      </c>
      <c r="N599" s="1" t="s">
        <v>60</v>
      </c>
      <c r="O599" s="1" t="s">
        <v>2276</v>
      </c>
    </row>
    <row r="600" spans="1:15" x14ac:dyDescent="0.25">
      <c r="A600">
        <v>1633</v>
      </c>
      <c r="B600" s="1" t="s">
        <v>354</v>
      </c>
      <c r="C600" s="1" t="str">
        <f t="shared" si="9"/>
        <v>Quebec</v>
      </c>
      <c r="D600" s="1" t="s">
        <v>73</v>
      </c>
      <c r="E600" s="5">
        <v>40</v>
      </c>
      <c r="F600" s="1" t="s">
        <v>1390</v>
      </c>
      <c r="G600" s="1" t="s">
        <v>1391</v>
      </c>
      <c r="H600" t="s">
        <v>2270</v>
      </c>
      <c r="I600" s="1" t="s">
        <v>17</v>
      </c>
      <c r="J600" s="1" t="s">
        <v>25</v>
      </c>
      <c r="K600" s="1" t="s">
        <v>19</v>
      </c>
      <c r="L600" s="1" t="s">
        <v>91</v>
      </c>
      <c r="M600" s="1" t="s">
        <v>1392</v>
      </c>
      <c r="N600" s="1" t="s">
        <v>60</v>
      </c>
      <c r="O600" s="1" t="s">
        <v>2276</v>
      </c>
    </row>
    <row r="601" spans="1:15" x14ac:dyDescent="0.25">
      <c r="A601">
        <v>1635</v>
      </c>
      <c r="B601" s="1" t="s">
        <v>354</v>
      </c>
      <c r="C601" s="1" t="str">
        <f t="shared" si="9"/>
        <v>Quebec</v>
      </c>
      <c r="D601" s="1" t="s">
        <v>14</v>
      </c>
      <c r="E601" s="5">
        <v>39</v>
      </c>
      <c r="F601" s="1" t="s">
        <v>433</v>
      </c>
      <c r="G601" s="1" t="s">
        <v>32</v>
      </c>
      <c r="H601" t="s">
        <v>2271</v>
      </c>
      <c r="I601" s="1" t="s">
        <v>17</v>
      </c>
      <c r="J601" s="1" t="s">
        <v>25</v>
      </c>
      <c r="K601" s="1" t="s">
        <v>31</v>
      </c>
      <c r="L601" s="1" t="s">
        <v>91</v>
      </c>
      <c r="M601" s="1" t="s">
        <v>1393</v>
      </c>
      <c r="N601" s="1" t="s">
        <v>60</v>
      </c>
      <c r="O601" s="1" t="s">
        <v>2276</v>
      </c>
    </row>
    <row r="602" spans="1:15" x14ac:dyDescent="0.25">
      <c r="A602">
        <v>1636</v>
      </c>
      <c r="B602" s="1" t="s">
        <v>354</v>
      </c>
      <c r="C602" s="1" t="str">
        <f t="shared" si="9"/>
        <v>Quebec</v>
      </c>
      <c r="D602" s="1" t="s">
        <v>14</v>
      </c>
      <c r="E602" s="5">
        <v>39</v>
      </c>
      <c r="F602" s="1" t="s">
        <v>433</v>
      </c>
      <c r="G602" s="1" t="s">
        <v>1394</v>
      </c>
      <c r="H602" t="s">
        <v>2271</v>
      </c>
      <c r="I602" s="1" t="s">
        <v>17</v>
      </c>
      <c r="J602" s="1" t="s">
        <v>25</v>
      </c>
      <c r="K602" s="1" t="s">
        <v>31</v>
      </c>
      <c r="L602" s="1" t="s">
        <v>91</v>
      </c>
      <c r="M602" s="1" t="s">
        <v>1395</v>
      </c>
      <c r="N602" s="1" t="s">
        <v>60</v>
      </c>
      <c r="O602" s="1" t="s">
        <v>2276</v>
      </c>
    </row>
    <row r="603" spans="1:15" x14ac:dyDescent="0.25">
      <c r="A603">
        <v>1637</v>
      </c>
      <c r="B603" s="1" t="s">
        <v>354</v>
      </c>
      <c r="C603" s="1" t="str">
        <f t="shared" si="9"/>
        <v>Quebec</v>
      </c>
      <c r="D603" s="1" t="s">
        <v>14</v>
      </c>
      <c r="E603" s="5">
        <v>39</v>
      </c>
      <c r="F603" s="1" t="s">
        <v>433</v>
      </c>
      <c r="G603" s="1" t="s">
        <v>1396</v>
      </c>
      <c r="H603" t="s">
        <v>2271</v>
      </c>
      <c r="I603" s="1" t="s">
        <v>17</v>
      </c>
      <c r="J603" s="1" t="s">
        <v>25</v>
      </c>
      <c r="K603" s="1" t="s">
        <v>31</v>
      </c>
      <c r="L603" s="1" t="s">
        <v>91</v>
      </c>
      <c r="M603" s="1" t="s">
        <v>1397</v>
      </c>
      <c r="N603" s="1" t="s">
        <v>60</v>
      </c>
      <c r="O603" s="1" t="s">
        <v>2276</v>
      </c>
    </row>
    <row r="604" spans="1:15" x14ac:dyDescent="0.25">
      <c r="A604">
        <v>1638</v>
      </c>
      <c r="B604" s="1" t="s">
        <v>354</v>
      </c>
      <c r="C604" s="1" t="str">
        <f t="shared" si="9"/>
        <v>Quebec</v>
      </c>
      <c r="D604" s="1" t="s">
        <v>14</v>
      </c>
      <c r="E604" s="5">
        <v>39</v>
      </c>
      <c r="F604" s="1" t="s">
        <v>1398</v>
      </c>
      <c r="G604" s="1" t="s">
        <v>1396</v>
      </c>
      <c r="H604" t="s">
        <v>2271</v>
      </c>
      <c r="I604" s="1" t="s">
        <v>17</v>
      </c>
      <c r="J604" s="1" t="s">
        <v>25</v>
      </c>
      <c r="K604" s="1" t="s">
        <v>31</v>
      </c>
      <c r="L604" s="1" t="s">
        <v>91</v>
      </c>
      <c r="M604" s="1" t="s">
        <v>1399</v>
      </c>
      <c r="N604" s="1" t="s">
        <v>60</v>
      </c>
      <c r="O604" s="1" t="s">
        <v>2276</v>
      </c>
    </row>
    <row r="605" spans="1:15" x14ac:dyDescent="0.25">
      <c r="A605">
        <v>1639</v>
      </c>
      <c r="B605" s="1" t="s">
        <v>354</v>
      </c>
      <c r="C605" s="1" t="str">
        <f t="shared" si="9"/>
        <v>Quebec</v>
      </c>
      <c r="D605" s="1" t="s">
        <v>14</v>
      </c>
      <c r="E605" s="5">
        <v>42</v>
      </c>
      <c r="F605" s="1" t="s">
        <v>1400</v>
      </c>
      <c r="G605" s="1" t="s">
        <v>1401</v>
      </c>
      <c r="H605" t="s">
        <v>2271</v>
      </c>
      <c r="I605" s="1" t="s">
        <v>24</v>
      </c>
      <c r="J605" s="1" t="s">
        <v>25</v>
      </c>
      <c r="K605" s="1" t="s">
        <v>31</v>
      </c>
      <c r="L605" s="1" t="s">
        <v>91</v>
      </c>
      <c r="M605" s="1" t="s">
        <v>1402</v>
      </c>
      <c r="N605" s="1" t="s">
        <v>22</v>
      </c>
      <c r="O605" s="1" t="s">
        <v>2276</v>
      </c>
    </row>
    <row r="606" spans="1:15" x14ac:dyDescent="0.25">
      <c r="A606">
        <v>1640</v>
      </c>
      <c r="B606" s="1" t="s">
        <v>354</v>
      </c>
      <c r="C606" s="1" t="str">
        <f t="shared" si="9"/>
        <v>Quebec</v>
      </c>
      <c r="D606" s="1" t="s">
        <v>28</v>
      </c>
      <c r="E606" s="5">
        <v>40</v>
      </c>
      <c r="F606" s="1" t="s">
        <v>1403</v>
      </c>
      <c r="G606" s="1" t="s">
        <v>1404</v>
      </c>
      <c r="H606" t="s">
        <v>2270</v>
      </c>
      <c r="I606" s="1" t="s">
        <v>17</v>
      </c>
      <c r="J606" s="1" t="s">
        <v>25</v>
      </c>
      <c r="K606" s="1" t="s">
        <v>31</v>
      </c>
      <c r="L606" s="1" t="s">
        <v>91</v>
      </c>
      <c r="M606" s="1" t="s">
        <v>1405</v>
      </c>
      <c r="N606" s="1" t="s">
        <v>22</v>
      </c>
      <c r="O606" s="1" t="s">
        <v>2276</v>
      </c>
    </row>
    <row r="607" spans="1:15" x14ac:dyDescent="0.25">
      <c r="A607">
        <v>1641</v>
      </c>
      <c r="B607" s="1" t="s">
        <v>354</v>
      </c>
      <c r="C607" s="1" t="str">
        <f t="shared" si="9"/>
        <v>Quebec</v>
      </c>
      <c r="D607" s="1" t="s">
        <v>28</v>
      </c>
      <c r="E607" s="5">
        <v>47.06</v>
      </c>
      <c r="F607" s="1" t="s">
        <v>32</v>
      </c>
      <c r="G607" s="1" t="s">
        <v>428</v>
      </c>
      <c r="H607" t="s">
        <v>2270</v>
      </c>
      <c r="I607" s="1" t="s">
        <v>17</v>
      </c>
      <c r="J607" s="1" t="s">
        <v>25</v>
      </c>
      <c r="K607" s="1" t="s">
        <v>31</v>
      </c>
      <c r="L607" s="1" t="s">
        <v>91</v>
      </c>
      <c r="M607" s="1" t="s">
        <v>1406</v>
      </c>
      <c r="N607" s="1" t="s">
        <v>22</v>
      </c>
      <c r="O607" s="1" t="s">
        <v>2276</v>
      </c>
    </row>
    <row r="608" spans="1:15" x14ac:dyDescent="0.25">
      <c r="A608">
        <v>1642</v>
      </c>
      <c r="B608" s="1" t="s">
        <v>354</v>
      </c>
      <c r="C608" s="1" t="str">
        <f t="shared" si="9"/>
        <v>Quebec</v>
      </c>
      <c r="D608" s="1" t="s">
        <v>28</v>
      </c>
      <c r="E608" s="5">
        <v>41</v>
      </c>
      <c r="F608" s="1" t="s">
        <v>401</v>
      </c>
      <c r="G608" s="1" t="s">
        <v>1407</v>
      </c>
      <c r="H608" t="s">
        <v>2270</v>
      </c>
      <c r="I608" s="1" t="s">
        <v>17</v>
      </c>
      <c r="J608" s="1" t="s">
        <v>25</v>
      </c>
      <c r="K608" s="1" t="s">
        <v>31</v>
      </c>
      <c r="L608" s="1" t="s">
        <v>91</v>
      </c>
      <c r="M608" s="1" t="s">
        <v>1408</v>
      </c>
      <c r="N608" s="1" t="s">
        <v>60</v>
      </c>
      <c r="O608" s="1" t="s">
        <v>2276</v>
      </c>
    </row>
    <row r="609" spans="1:15" x14ac:dyDescent="0.25">
      <c r="A609">
        <v>1643</v>
      </c>
      <c r="B609" s="1" t="s">
        <v>354</v>
      </c>
      <c r="C609" s="1" t="str">
        <f t="shared" si="9"/>
        <v>Quebec</v>
      </c>
      <c r="D609" s="1" t="s">
        <v>28</v>
      </c>
      <c r="E609" s="5">
        <v>41</v>
      </c>
      <c r="F609" s="1" t="s">
        <v>401</v>
      </c>
      <c r="G609" s="1" t="s">
        <v>395</v>
      </c>
      <c r="H609" t="s">
        <v>2270</v>
      </c>
      <c r="I609" s="1" t="s">
        <v>17</v>
      </c>
      <c r="J609" s="1" t="s">
        <v>25</v>
      </c>
      <c r="K609" s="1" t="s">
        <v>31</v>
      </c>
      <c r="L609" s="1" t="s">
        <v>91</v>
      </c>
      <c r="M609" s="1" t="s">
        <v>1409</v>
      </c>
      <c r="N609" s="1" t="s">
        <v>60</v>
      </c>
      <c r="O609" s="1" t="s">
        <v>2276</v>
      </c>
    </row>
    <row r="610" spans="1:15" x14ac:dyDescent="0.25">
      <c r="A610">
        <v>1644</v>
      </c>
      <c r="B610" s="1" t="s">
        <v>354</v>
      </c>
      <c r="C610" s="1" t="str">
        <f t="shared" si="9"/>
        <v>Quebec</v>
      </c>
      <c r="D610" s="1" t="s">
        <v>28</v>
      </c>
      <c r="E610" s="5">
        <v>41</v>
      </c>
      <c r="F610" s="1" t="s">
        <v>401</v>
      </c>
      <c r="G610" s="1" t="s">
        <v>395</v>
      </c>
      <c r="H610" t="s">
        <v>2270</v>
      </c>
      <c r="I610" s="1" t="s">
        <v>17</v>
      </c>
      <c r="J610" s="1" t="s">
        <v>25</v>
      </c>
      <c r="K610" s="1" t="s">
        <v>31</v>
      </c>
      <c r="L610" s="1" t="s">
        <v>91</v>
      </c>
      <c r="M610" s="1" t="s">
        <v>1410</v>
      </c>
      <c r="N610" s="1" t="s">
        <v>60</v>
      </c>
      <c r="O610" s="1" t="s">
        <v>2276</v>
      </c>
    </row>
    <row r="611" spans="1:15" x14ac:dyDescent="0.25">
      <c r="A611">
        <v>1645</v>
      </c>
      <c r="B611" s="1" t="s">
        <v>354</v>
      </c>
      <c r="C611" s="1" t="str">
        <f t="shared" si="9"/>
        <v>Quebec</v>
      </c>
      <c r="D611" s="1" t="s">
        <v>28</v>
      </c>
      <c r="E611" s="5">
        <v>41</v>
      </c>
      <c r="F611" s="1" t="s">
        <v>401</v>
      </c>
      <c r="G611" s="1" t="s">
        <v>395</v>
      </c>
      <c r="H611" t="s">
        <v>2270</v>
      </c>
      <c r="I611" s="1" t="s">
        <v>17</v>
      </c>
      <c r="J611" s="1" t="s">
        <v>25</v>
      </c>
      <c r="K611" s="1" t="s">
        <v>31</v>
      </c>
      <c r="L611" s="1" t="s">
        <v>32</v>
      </c>
      <c r="M611" s="1" t="s">
        <v>1411</v>
      </c>
      <c r="N611" s="1" t="s">
        <v>60</v>
      </c>
      <c r="O611" s="1" t="s">
        <v>2276</v>
      </c>
    </row>
    <row r="612" spans="1:15" x14ac:dyDescent="0.25">
      <c r="A612">
        <v>1646</v>
      </c>
      <c r="B612" s="1" t="s">
        <v>354</v>
      </c>
      <c r="C612" s="1" t="str">
        <f t="shared" si="9"/>
        <v>Quebec</v>
      </c>
      <c r="D612" s="1" t="s">
        <v>28</v>
      </c>
      <c r="E612" s="5">
        <v>41</v>
      </c>
      <c r="F612" s="1" t="s">
        <v>433</v>
      </c>
      <c r="G612" s="1" t="s">
        <v>395</v>
      </c>
      <c r="H612" t="s">
        <v>2270</v>
      </c>
      <c r="I612" s="1" t="s">
        <v>17</v>
      </c>
      <c r="J612" s="1" t="s">
        <v>25</v>
      </c>
      <c r="K612" s="1" t="s">
        <v>31</v>
      </c>
      <c r="L612" s="1" t="s">
        <v>91</v>
      </c>
      <c r="M612" s="1" t="s">
        <v>1412</v>
      </c>
      <c r="N612" s="1" t="s">
        <v>60</v>
      </c>
      <c r="O612" s="1" t="s">
        <v>2276</v>
      </c>
    </row>
    <row r="613" spans="1:15" x14ac:dyDescent="0.25">
      <c r="A613">
        <v>1647</v>
      </c>
      <c r="B613" s="1" t="s">
        <v>354</v>
      </c>
      <c r="C613" s="1" t="str">
        <f t="shared" si="9"/>
        <v>Quebec</v>
      </c>
      <c r="D613" s="1" t="s">
        <v>28</v>
      </c>
      <c r="E613" s="5">
        <v>40</v>
      </c>
      <c r="F613" s="1" t="s">
        <v>1413</v>
      </c>
      <c r="G613" s="1" t="s">
        <v>1414</v>
      </c>
      <c r="H613" t="s">
        <v>2270</v>
      </c>
      <c r="I613" s="1" t="s">
        <v>17</v>
      </c>
      <c r="J613" s="1" t="s">
        <v>25</v>
      </c>
      <c r="K613" s="1" t="s">
        <v>31</v>
      </c>
      <c r="L613" s="1" t="s">
        <v>91</v>
      </c>
      <c r="M613" s="1" t="s">
        <v>1415</v>
      </c>
      <c r="N613" s="1" t="s">
        <v>22</v>
      </c>
      <c r="O613" s="1" t="s">
        <v>2276</v>
      </c>
    </row>
    <row r="614" spans="1:15" x14ac:dyDescent="0.25">
      <c r="A614">
        <v>1648</v>
      </c>
      <c r="B614" s="1" t="s">
        <v>354</v>
      </c>
      <c r="C614" s="1" t="str">
        <f t="shared" si="9"/>
        <v>Quebec</v>
      </c>
      <c r="D614" s="1" t="s">
        <v>28</v>
      </c>
      <c r="E614" s="5">
        <v>40</v>
      </c>
      <c r="F614" s="1" t="s">
        <v>1416</v>
      </c>
      <c r="G614" s="1" t="s">
        <v>1417</v>
      </c>
      <c r="H614" t="s">
        <v>2270</v>
      </c>
      <c r="I614" s="1" t="s">
        <v>17</v>
      </c>
      <c r="J614" s="1" t="s">
        <v>25</v>
      </c>
      <c r="K614" s="1" t="s">
        <v>31</v>
      </c>
      <c r="L614" s="1" t="s">
        <v>32</v>
      </c>
      <c r="M614" s="1" t="s">
        <v>1418</v>
      </c>
      <c r="N614" s="1" t="s">
        <v>22</v>
      </c>
      <c r="O614" s="1" t="s">
        <v>2276</v>
      </c>
    </row>
    <row r="615" spans="1:15" x14ac:dyDescent="0.25">
      <c r="A615">
        <v>1649</v>
      </c>
      <c r="B615" s="1" t="s">
        <v>354</v>
      </c>
      <c r="C615" s="1" t="str">
        <f t="shared" si="9"/>
        <v>Quebec</v>
      </c>
      <c r="D615" s="1" t="s">
        <v>28</v>
      </c>
      <c r="E615" s="5">
        <v>40</v>
      </c>
      <c r="F615" s="1" t="s">
        <v>1419</v>
      </c>
      <c r="G615" s="1" t="s">
        <v>32</v>
      </c>
      <c r="H615" t="s">
        <v>2270</v>
      </c>
      <c r="I615" s="1" t="s">
        <v>17</v>
      </c>
      <c r="J615" s="1" t="s">
        <v>25</v>
      </c>
      <c r="K615" s="1" t="s">
        <v>31</v>
      </c>
      <c r="L615" s="1" t="s">
        <v>91</v>
      </c>
      <c r="M615" s="1" t="s">
        <v>1420</v>
      </c>
      <c r="N615" s="1" t="s">
        <v>22</v>
      </c>
      <c r="O615" s="1" t="s">
        <v>2276</v>
      </c>
    </row>
    <row r="616" spans="1:15" x14ac:dyDescent="0.25">
      <c r="A616">
        <v>1650</v>
      </c>
      <c r="B616" s="1" t="s">
        <v>354</v>
      </c>
      <c r="C616" s="1" t="str">
        <f t="shared" si="9"/>
        <v>Quebec</v>
      </c>
      <c r="D616" s="1" t="s">
        <v>28</v>
      </c>
      <c r="E616" s="5">
        <v>40</v>
      </c>
      <c r="F616" s="1" t="s">
        <v>1421</v>
      </c>
      <c r="G616" s="1" t="s">
        <v>740</v>
      </c>
      <c r="H616" t="s">
        <v>2270</v>
      </c>
      <c r="I616" s="1" t="s">
        <v>17</v>
      </c>
      <c r="J616" s="1" t="s">
        <v>25</v>
      </c>
      <c r="K616" s="1" t="s">
        <v>31</v>
      </c>
      <c r="L616" s="1" t="s">
        <v>91</v>
      </c>
      <c r="M616" s="1" t="s">
        <v>1422</v>
      </c>
      <c r="N616" s="1" t="s">
        <v>22</v>
      </c>
      <c r="O616" s="1" t="s">
        <v>2276</v>
      </c>
    </row>
    <row r="617" spans="1:15" x14ac:dyDescent="0.25">
      <c r="A617">
        <v>1651</v>
      </c>
      <c r="B617" s="1" t="s">
        <v>354</v>
      </c>
      <c r="C617" s="1" t="str">
        <f t="shared" si="9"/>
        <v>Quebec</v>
      </c>
      <c r="D617" s="1" t="s">
        <v>73</v>
      </c>
      <c r="E617" s="5">
        <v>40</v>
      </c>
      <c r="F617" s="1" t="s">
        <v>32</v>
      </c>
      <c r="G617" s="1" t="s">
        <v>1423</v>
      </c>
      <c r="H617" t="s">
        <v>2270</v>
      </c>
      <c r="I617" s="1" t="s">
        <v>17</v>
      </c>
      <c r="J617" s="1" t="s">
        <v>25</v>
      </c>
      <c r="K617" s="1" t="s">
        <v>31</v>
      </c>
      <c r="L617" s="1" t="s">
        <v>91</v>
      </c>
      <c r="M617" s="1" t="s">
        <v>1424</v>
      </c>
      <c r="N617" s="1" t="s">
        <v>22</v>
      </c>
      <c r="O617" s="1" t="s">
        <v>2276</v>
      </c>
    </row>
    <row r="618" spans="1:15" x14ac:dyDescent="0.25">
      <c r="A618">
        <v>1652</v>
      </c>
      <c r="B618" s="1" t="s">
        <v>354</v>
      </c>
      <c r="C618" s="1" t="str">
        <f t="shared" si="9"/>
        <v>Quebec</v>
      </c>
      <c r="D618" s="1" t="s">
        <v>73</v>
      </c>
      <c r="E618" s="5">
        <v>41</v>
      </c>
      <c r="F618" s="1" t="s">
        <v>1425</v>
      </c>
      <c r="G618" s="1" t="s">
        <v>1426</v>
      </c>
      <c r="H618" t="s">
        <v>2270</v>
      </c>
      <c r="I618" s="1" t="s">
        <v>24</v>
      </c>
      <c r="J618" s="1" t="s">
        <v>25</v>
      </c>
      <c r="K618" s="1" t="s">
        <v>31</v>
      </c>
      <c r="L618" s="1" t="s">
        <v>20</v>
      </c>
      <c r="M618" s="1" t="s">
        <v>1427</v>
      </c>
      <c r="N618" s="1" t="s">
        <v>22</v>
      </c>
      <c r="O618" s="1" t="s">
        <v>2276</v>
      </c>
    </row>
    <row r="619" spans="1:15" x14ac:dyDescent="0.25">
      <c r="A619">
        <v>1653</v>
      </c>
      <c r="B619" s="1" t="s">
        <v>354</v>
      </c>
      <c r="C619" s="1" t="str">
        <f t="shared" si="9"/>
        <v>Quebec</v>
      </c>
      <c r="D619" s="1" t="s">
        <v>73</v>
      </c>
      <c r="E619" s="5">
        <v>46</v>
      </c>
      <c r="F619" s="1" t="s">
        <v>32</v>
      </c>
      <c r="G619" s="1" t="s">
        <v>1428</v>
      </c>
      <c r="H619" t="s">
        <v>2270</v>
      </c>
      <c r="I619" s="1" t="s">
        <v>24</v>
      </c>
      <c r="J619" s="1" t="s">
        <v>25</v>
      </c>
      <c r="K619" s="1" t="s">
        <v>19</v>
      </c>
      <c r="L619" s="1" t="s">
        <v>20</v>
      </c>
      <c r="M619" s="1" t="s">
        <v>1429</v>
      </c>
      <c r="N619" s="1" t="s">
        <v>22</v>
      </c>
      <c r="O619" s="1" t="s">
        <v>2276</v>
      </c>
    </row>
    <row r="620" spans="1:15" x14ac:dyDescent="0.25">
      <c r="A620">
        <v>1654</v>
      </c>
      <c r="B620" s="1" t="s">
        <v>354</v>
      </c>
      <c r="C620" s="1" t="str">
        <f t="shared" si="9"/>
        <v>Quebec</v>
      </c>
      <c r="D620" s="1" t="s">
        <v>73</v>
      </c>
      <c r="E620" s="5">
        <v>40</v>
      </c>
      <c r="F620" s="1" t="s">
        <v>1430</v>
      </c>
      <c r="G620" s="1" t="s">
        <v>1431</v>
      </c>
      <c r="H620" t="s">
        <v>2270</v>
      </c>
      <c r="I620" s="1" t="s">
        <v>17</v>
      </c>
      <c r="J620" s="1" t="s">
        <v>25</v>
      </c>
      <c r="K620" s="1" t="s">
        <v>31</v>
      </c>
      <c r="L620" s="1" t="s">
        <v>32</v>
      </c>
      <c r="M620" s="1" t="s">
        <v>1432</v>
      </c>
      <c r="N620" s="1" t="s">
        <v>22</v>
      </c>
      <c r="O620" s="1" t="s">
        <v>2276</v>
      </c>
    </row>
    <row r="621" spans="1:15" x14ac:dyDescent="0.25">
      <c r="A621">
        <v>1655</v>
      </c>
      <c r="B621" s="1" t="s">
        <v>354</v>
      </c>
      <c r="C621" s="1" t="str">
        <f t="shared" si="9"/>
        <v>Quebec</v>
      </c>
      <c r="D621" s="1" t="s">
        <v>73</v>
      </c>
      <c r="E621" s="5">
        <v>40</v>
      </c>
      <c r="F621" s="1" t="s">
        <v>1433</v>
      </c>
      <c r="G621" s="1" t="s">
        <v>1434</v>
      </c>
      <c r="H621" t="s">
        <v>2270</v>
      </c>
      <c r="I621" s="1" t="s">
        <v>17</v>
      </c>
      <c r="J621" s="1" t="s">
        <v>18</v>
      </c>
      <c r="K621" s="1" t="s">
        <v>107</v>
      </c>
      <c r="L621" s="1" t="s">
        <v>32</v>
      </c>
      <c r="M621" s="1" t="s">
        <v>1435</v>
      </c>
      <c r="N621" s="1" t="s">
        <v>22</v>
      </c>
      <c r="O621" s="1" t="s">
        <v>2276</v>
      </c>
    </row>
    <row r="622" spans="1:15" x14ac:dyDescent="0.25">
      <c r="A622">
        <v>1656</v>
      </c>
      <c r="B622" s="1" t="s">
        <v>354</v>
      </c>
      <c r="C622" s="1" t="str">
        <f t="shared" si="9"/>
        <v>Quebec</v>
      </c>
      <c r="D622" s="1" t="s">
        <v>14</v>
      </c>
      <c r="E622" s="5">
        <v>65</v>
      </c>
      <c r="F622" s="1" t="s">
        <v>1436</v>
      </c>
      <c r="G622" s="1" t="s">
        <v>1437</v>
      </c>
      <c r="H622" t="s">
        <v>2270</v>
      </c>
      <c r="I622" s="1" t="s">
        <v>40</v>
      </c>
      <c r="J622" s="1" t="s">
        <v>44</v>
      </c>
      <c r="K622" s="1" t="s">
        <v>31</v>
      </c>
      <c r="L622" s="1" t="s">
        <v>91</v>
      </c>
      <c r="M622" s="1" t="s">
        <v>1438</v>
      </c>
      <c r="N622" s="1" t="s">
        <v>22</v>
      </c>
      <c r="O622" s="1" t="s">
        <v>2276</v>
      </c>
    </row>
    <row r="623" spans="1:15" x14ac:dyDescent="0.25">
      <c r="A623">
        <v>1657</v>
      </c>
      <c r="B623" s="1" t="s">
        <v>354</v>
      </c>
      <c r="C623" s="1" t="str">
        <f t="shared" si="9"/>
        <v>Quebec</v>
      </c>
      <c r="D623" s="1" t="s">
        <v>14</v>
      </c>
      <c r="E623" s="5">
        <v>45</v>
      </c>
      <c r="F623" s="1" t="s">
        <v>1439</v>
      </c>
      <c r="G623" s="1" t="s">
        <v>1440</v>
      </c>
      <c r="H623" t="s">
        <v>2270</v>
      </c>
      <c r="I623" s="1" t="s">
        <v>43</v>
      </c>
      <c r="J623" s="1" t="s">
        <v>44</v>
      </c>
      <c r="K623" s="1" t="s">
        <v>31</v>
      </c>
      <c r="L623" s="1" t="s">
        <v>45</v>
      </c>
      <c r="M623" s="1" t="s">
        <v>1441</v>
      </c>
      <c r="N623" s="1" t="s">
        <v>22</v>
      </c>
      <c r="O623" s="1" t="s">
        <v>2276</v>
      </c>
    </row>
    <row r="624" spans="1:15" x14ac:dyDescent="0.25">
      <c r="A624">
        <v>1658</v>
      </c>
      <c r="B624" s="1" t="s">
        <v>354</v>
      </c>
      <c r="C624" s="1" t="str">
        <f t="shared" si="9"/>
        <v>Quebec</v>
      </c>
      <c r="D624" s="1" t="s">
        <v>14</v>
      </c>
      <c r="E624" s="5">
        <v>60</v>
      </c>
      <c r="F624" s="1" t="s">
        <v>1442</v>
      </c>
      <c r="G624" s="1" t="s">
        <v>1443</v>
      </c>
      <c r="H624" t="s">
        <v>2270</v>
      </c>
      <c r="I624" s="1" t="s">
        <v>43</v>
      </c>
      <c r="J624" s="1" t="s">
        <v>44</v>
      </c>
      <c r="K624" s="1" t="s">
        <v>31</v>
      </c>
      <c r="L624" s="1" t="s">
        <v>45</v>
      </c>
      <c r="M624" s="1" t="s">
        <v>1444</v>
      </c>
      <c r="N624" s="1" t="s">
        <v>22</v>
      </c>
      <c r="O624" s="1" t="s">
        <v>2276</v>
      </c>
    </row>
    <row r="625" spans="1:15" x14ac:dyDescent="0.25">
      <c r="A625">
        <v>1659</v>
      </c>
      <c r="B625" s="1" t="s">
        <v>354</v>
      </c>
      <c r="C625" s="1" t="str">
        <f t="shared" si="9"/>
        <v>Quebec</v>
      </c>
      <c r="D625" s="1" t="s">
        <v>14</v>
      </c>
      <c r="E625" s="5">
        <v>68</v>
      </c>
      <c r="F625" s="1" t="s">
        <v>1445</v>
      </c>
      <c r="G625" s="1" t="s">
        <v>114</v>
      </c>
      <c r="H625" t="s">
        <v>2270</v>
      </c>
      <c r="I625" s="1" t="s">
        <v>40</v>
      </c>
      <c r="J625" s="1" t="s">
        <v>44</v>
      </c>
      <c r="K625" s="1" t="s">
        <v>31</v>
      </c>
      <c r="L625" s="1" t="s">
        <v>91</v>
      </c>
      <c r="M625" s="1" t="s">
        <v>1446</v>
      </c>
      <c r="N625" s="1" t="s">
        <v>22</v>
      </c>
      <c r="O625" s="1" t="s">
        <v>2276</v>
      </c>
    </row>
    <row r="626" spans="1:15" x14ac:dyDescent="0.25">
      <c r="A626">
        <v>1660</v>
      </c>
      <c r="B626" s="1" t="s">
        <v>354</v>
      </c>
      <c r="C626" s="1" t="str">
        <f t="shared" si="9"/>
        <v>Quebec</v>
      </c>
      <c r="D626" s="1" t="s">
        <v>14</v>
      </c>
      <c r="E626" s="5">
        <v>60</v>
      </c>
      <c r="F626" s="1" t="s">
        <v>1447</v>
      </c>
      <c r="G626" s="1" t="s">
        <v>1448</v>
      </c>
      <c r="H626" t="s">
        <v>2270</v>
      </c>
      <c r="I626" s="1" t="s">
        <v>43</v>
      </c>
      <c r="J626" s="1" t="s">
        <v>44</v>
      </c>
      <c r="K626" s="1" t="s">
        <v>31</v>
      </c>
      <c r="L626" s="1" t="s">
        <v>45</v>
      </c>
      <c r="M626" s="1" t="s">
        <v>1449</v>
      </c>
      <c r="N626" s="1" t="s">
        <v>22</v>
      </c>
      <c r="O626" s="1" t="s">
        <v>2276</v>
      </c>
    </row>
    <row r="627" spans="1:15" x14ac:dyDescent="0.25">
      <c r="A627">
        <v>1661</v>
      </c>
      <c r="B627" s="1" t="s">
        <v>354</v>
      </c>
      <c r="C627" s="1" t="str">
        <f t="shared" si="9"/>
        <v>Quebec</v>
      </c>
      <c r="D627" s="1" t="s">
        <v>14</v>
      </c>
      <c r="E627" s="5">
        <v>56</v>
      </c>
      <c r="F627" s="1" t="s">
        <v>1450</v>
      </c>
      <c r="G627" s="1" t="s">
        <v>1451</v>
      </c>
      <c r="H627" t="s">
        <v>2270</v>
      </c>
      <c r="I627" s="1" t="s">
        <v>43</v>
      </c>
      <c r="J627" s="1" t="s">
        <v>44</v>
      </c>
      <c r="K627" s="1" t="s">
        <v>31</v>
      </c>
      <c r="L627" s="1" t="s">
        <v>45</v>
      </c>
      <c r="M627" s="1" t="s">
        <v>1452</v>
      </c>
      <c r="N627" s="1" t="s">
        <v>22</v>
      </c>
      <c r="O627" s="1" t="s">
        <v>2276</v>
      </c>
    </row>
    <row r="628" spans="1:15" x14ac:dyDescent="0.25">
      <c r="A628">
        <v>1662</v>
      </c>
      <c r="B628" s="1" t="s">
        <v>354</v>
      </c>
      <c r="C628" s="1" t="str">
        <f t="shared" si="9"/>
        <v>Quebec</v>
      </c>
      <c r="D628" s="1" t="s">
        <v>14</v>
      </c>
      <c r="E628" s="5">
        <v>48</v>
      </c>
      <c r="F628" s="1" t="s">
        <v>1453</v>
      </c>
      <c r="G628" s="1" t="s">
        <v>431</v>
      </c>
      <c r="H628" t="s">
        <v>2270</v>
      </c>
      <c r="I628" s="1" t="s">
        <v>24</v>
      </c>
      <c r="J628" s="1" t="s">
        <v>44</v>
      </c>
      <c r="K628" s="1" t="s">
        <v>19</v>
      </c>
      <c r="L628" s="1" t="s">
        <v>91</v>
      </c>
      <c r="M628" s="1" t="s">
        <v>1454</v>
      </c>
      <c r="N628" s="1" t="s">
        <v>22</v>
      </c>
      <c r="O628" s="1" t="s">
        <v>2276</v>
      </c>
    </row>
    <row r="629" spans="1:15" x14ac:dyDescent="0.25">
      <c r="A629">
        <v>1663</v>
      </c>
      <c r="B629" s="1" t="s">
        <v>354</v>
      </c>
      <c r="C629" s="1" t="str">
        <f t="shared" si="9"/>
        <v>Quebec</v>
      </c>
      <c r="D629" s="1" t="s">
        <v>14</v>
      </c>
      <c r="E629" s="5">
        <v>35</v>
      </c>
      <c r="F629" s="1" t="s">
        <v>912</v>
      </c>
      <c r="G629" s="1" t="s">
        <v>1455</v>
      </c>
      <c r="H629" t="s">
        <v>2270</v>
      </c>
      <c r="I629" s="1" t="s">
        <v>24</v>
      </c>
      <c r="J629" s="1" t="s">
        <v>44</v>
      </c>
      <c r="K629" s="1" t="s">
        <v>31</v>
      </c>
      <c r="L629" s="1" t="s">
        <v>91</v>
      </c>
      <c r="M629" s="1" t="s">
        <v>1456</v>
      </c>
      <c r="N629" s="1" t="s">
        <v>22</v>
      </c>
      <c r="O629" s="1" t="s">
        <v>2276</v>
      </c>
    </row>
    <row r="630" spans="1:15" x14ac:dyDescent="0.25">
      <c r="A630">
        <v>1666</v>
      </c>
      <c r="B630" s="1" t="s">
        <v>354</v>
      </c>
      <c r="C630" s="1" t="str">
        <f t="shared" si="9"/>
        <v>Quebec</v>
      </c>
      <c r="D630" s="1" t="s">
        <v>14</v>
      </c>
      <c r="E630" s="5">
        <v>12</v>
      </c>
      <c r="F630" s="1" t="s">
        <v>32</v>
      </c>
      <c r="G630" s="1" t="s">
        <v>1457</v>
      </c>
      <c r="H630" t="s">
        <v>2270</v>
      </c>
      <c r="I630" s="1" t="s">
        <v>64</v>
      </c>
      <c r="J630" s="1" t="s">
        <v>44</v>
      </c>
      <c r="K630" s="1" t="s">
        <v>31</v>
      </c>
      <c r="L630" s="1" t="s">
        <v>91</v>
      </c>
      <c r="M630" s="1" t="s">
        <v>1458</v>
      </c>
      <c r="N630" s="1" t="s">
        <v>60</v>
      </c>
      <c r="O630" s="1" t="s">
        <v>2276</v>
      </c>
    </row>
    <row r="631" spans="1:15" x14ac:dyDescent="0.25">
      <c r="A631">
        <v>1667</v>
      </c>
      <c r="B631" s="1" t="s">
        <v>354</v>
      </c>
      <c r="C631" s="1" t="str">
        <f t="shared" si="9"/>
        <v>Quebec</v>
      </c>
      <c r="D631" s="1" t="s">
        <v>14</v>
      </c>
      <c r="E631" s="5">
        <v>74</v>
      </c>
      <c r="F631" s="1" t="s">
        <v>1459</v>
      </c>
      <c r="G631" s="1" t="s">
        <v>32</v>
      </c>
      <c r="H631" t="s">
        <v>2270</v>
      </c>
      <c r="I631" s="1" t="s">
        <v>40</v>
      </c>
      <c r="J631" s="1" t="s">
        <v>44</v>
      </c>
      <c r="K631" s="1" t="s">
        <v>31</v>
      </c>
      <c r="L631" s="1" t="s">
        <v>91</v>
      </c>
      <c r="M631" s="1" t="s">
        <v>1460</v>
      </c>
      <c r="N631" s="1" t="s">
        <v>22</v>
      </c>
      <c r="O631" s="1" t="s">
        <v>2276</v>
      </c>
    </row>
    <row r="632" spans="1:15" x14ac:dyDescent="0.25">
      <c r="A632">
        <v>1669</v>
      </c>
      <c r="B632" s="1" t="s">
        <v>354</v>
      </c>
      <c r="C632" s="1" t="str">
        <f t="shared" si="9"/>
        <v>Quebec</v>
      </c>
      <c r="D632" s="1" t="s">
        <v>14</v>
      </c>
      <c r="E632" s="5">
        <v>59</v>
      </c>
      <c r="F632" s="1" t="s">
        <v>407</v>
      </c>
      <c r="G632" s="1" t="s">
        <v>32</v>
      </c>
      <c r="H632" t="s">
        <v>2270</v>
      </c>
      <c r="I632" s="1" t="s">
        <v>24</v>
      </c>
      <c r="J632" s="1" t="s">
        <v>44</v>
      </c>
      <c r="K632" s="1" t="s">
        <v>31</v>
      </c>
      <c r="L632" s="1" t="s">
        <v>91</v>
      </c>
      <c r="M632" s="1" t="s">
        <v>1461</v>
      </c>
      <c r="N632" s="1" t="s">
        <v>22</v>
      </c>
      <c r="O632" s="1" t="s">
        <v>2276</v>
      </c>
    </row>
    <row r="633" spans="1:15" x14ac:dyDescent="0.25">
      <c r="A633">
        <v>1670</v>
      </c>
      <c r="B633" s="1" t="s">
        <v>354</v>
      </c>
      <c r="C633" s="1" t="str">
        <f t="shared" si="9"/>
        <v>Quebec</v>
      </c>
      <c r="D633" s="1" t="s">
        <v>14</v>
      </c>
      <c r="E633" s="5">
        <v>46</v>
      </c>
      <c r="F633" s="1" t="s">
        <v>1462</v>
      </c>
      <c r="G633" s="1" t="s">
        <v>1463</v>
      </c>
      <c r="H633" t="s">
        <v>2270</v>
      </c>
      <c r="I633" s="1" t="s">
        <v>17</v>
      </c>
      <c r="J633" s="1" t="s">
        <v>44</v>
      </c>
      <c r="K633" s="1" t="s">
        <v>31</v>
      </c>
      <c r="L633" s="1" t="s">
        <v>91</v>
      </c>
      <c r="M633" s="1" t="s">
        <v>1464</v>
      </c>
      <c r="N633" s="1" t="s">
        <v>22</v>
      </c>
      <c r="O633" s="1" t="s">
        <v>2276</v>
      </c>
    </row>
    <row r="634" spans="1:15" x14ac:dyDescent="0.25">
      <c r="A634">
        <v>1671</v>
      </c>
      <c r="B634" s="1" t="s">
        <v>354</v>
      </c>
      <c r="C634" s="1" t="str">
        <f t="shared" si="9"/>
        <v>Quebec</v>
      </c>
      <c r="D634" s="1" t="s">
        <v>14</v>
      </c>
      <c r="E634" s="5">
        <v>70</v>
      </c>
      <c r="F634" s="1" t="s">
        <v>47</v>
      </c>
      <c r="G634" s="1" t="s">
        <v>1465</v>
      </c>
      <c r="H634" t="s">
        <v>2270</v>
      </c>
      <c r="I634" s="1" t="s">
        <v>40</v>
      </c>
      <c r="J634" s="1" t="s">
        <v>44</v>
      </c>
      <c r="K634" s="1" t="s">
        <v>31</v>
      </c>
      <c r="L634" s="1" t="s">
        <v>91</v>
      </c>
      <c r="M634" s="1" t="s">
        <v>1466</v>
      </c>
      <c r="N634" s="1" t="s">
        <v>22</v>
      </c>
      <c r="O634" s="1" t="s">
        <v>2276</v>
      </c>
    </row>
    <row r="635" spans="1:15" x14ac:dyDescent="0.25">
      <c r="A635">
        <v>1672</v>
      </c>
      <c r="B635" s="1" t="s">
        <v>354</v>
      </c>
      <c r="C635" s="1" t="str">
        <f t="shared" si="9"/>
        <v>Quebec</v>
      </c>
      <c r="D635" s="1" t="s">
        <v>14</v>
      </c>
      <c r="E635" s="5">
        <v>35</v>
      </c>
      <c r="F635" s="1" t="s">
        <v>1467</v>
      </c>
      <c r="G635" s="1" t="s">
        <v>1468</v>
      </c>
      <c r="H635" t="s">
        <v>2270</v>
      </c>
      <c r="I635" s="1" t="s">
        <v>43</v>
      </c>
      <c r="J635" s="1" t="s">
        <v>44</v>
      </c>
      <c r="K635" s="1" t="s">
        <v>31</v>
      </c>
      <c r="L635" s="1" t="s">
        <v>91</v>
      </c>
      <c r="M635" s="1" t="s">
        <v>1469</v>
      </c>
      <c r="N635" s="1" t="s">
        <v>22</v>
      </c>
      <c r="O635" s="1" t="s">
        <v>2276</v>
      </c>
    </row>
    <row r="636" spans="1:15" x14ac:dyDescent="0.25">
      <c r="A636">
        <v>1673</v>
      </c>
      <c r="B636" s="1" t="s">
        <v>354</v>
      </c>
      <c r="C636" s="1" t="str">
        <f t="shared" si="9"/>
        <v>Quebec</v>
      </c>
      <c r="D636" s="1" t="s">
        <v>14</v>
      </c>
      <c r="E636" s="5">
        <v>65</v>
      </c>
      <c r="F636" s="1" t="s">
        <v>47</v>
      </c>
      <c r="G636" s="1" t="s">
        <v>114</v>
      </c>
      <c r="H636" t="s">
        <v>2270</v>
      </c>
      <c r="I636" s="1" t="s">
        <v>43</v>
      </c>
      <c r="J636" s="1" t="s">
        <v>44</v>
      </c>
      <c r="K636" s="1" t="s">
        <v>31</v>
      </c>
      <c r="L636" s="1" t="s">
        <v>91</v>
      </c>
      <c r="M636" s="1" t="s">
        <v>1470</v>
      </c>
      <c r="N636" s="1" t="s">
        <v>22</v>
      </c>
      <c r="O636" s="1" t="s">
        <v>2276</v>
      </c>
    </row>
    <row r="637" spans="1:15" x14ac:dyDescent="0.25">
      <c r="A637">
        <v>1674</v>
      </c>
      <c r="B637" s="1" t="s">
        <v>354</v>
      </c>
      <c r="C637" s="1" t="str">
        <f t="shared" si="9"/>
        <v>Quebec</v>
      </c>
      <c r="D637" s="1" t="s">
        <v>14</v>
      </c>
      <c r="E637" s="5">
        <v>35</v>
      </c>
      <c r="F637" s="1" t="s">
        <v>912</v>
      </c>
      <c r="G637" s="1" t="s">
        <v>32</v>
      </c>
      <c r="H637" t="s">
        <v>2270</v>
      </c>
      <c r="I637" s="1" t="s">
        <v>24</v>
      </c>
      <c r="J637" s="1" t="s">
        <v>44</v>
      </c>
      <c r="K637" s="1" t="s">
        <v>31</v>
      </c>
      <c r="L637" s="1" t="s">
        <v>91</v>
      </c>
      <c r="M637" s="1" t="s">
        <v>1471</v>
      </c>
      <c r="N637" s="1" t="s">
        <v>22</v>
      </c>
      <c r="O637" s="1" t="s">
        <v>2276</v>
      </c>
    </row>
    <row r="638" spans="1:15" x14ac:dyDescent="0.25">
      <c r="A638">
        <v>1675</v>
      </c>
      <c r="B638" s="1" t="s">
        <v>354</v>
      </c>
      <c r="C638" s="1" t="str">
        <f t="shared" si="9"/>
        <v>Quebec</v>
      </c>
      <c r="D638" s="1" t="s">
        <v>14</v>
      </c>
      <c r="E638" s="5">
        <v>65</v>
      </c>
      <c r="F638" s="1" t="s">
        <v>32</v>
      </c>
      <c r="G638" s="1" t="s">
        <v>1472</v>
      </c>
      <c r="H638" t="s">
        <v>2270</v>
      </c>
      <c r="I638" s="1" t="s">
        <v>24</v>
      </c>
      <c r="J638" s="1" t="s">
        <v>44</v>
      </c>
      <c r="K638" s="1" t="s">
        <v>31</v>
      </c>
      <c r="L638" s="1" t="s">
        <v>91</v>
      </c>
      <c r="M638" s="1" t="s">
        <v>1473</v>
      </c>
      <c r="N638" s="1" t="s">
        <v>22</v>
      </c>
      <c r="O638" s="1" t="s">
        <v>2276</v>
      </c>
    </row>
    <row r="639" spans="1:15" x14ac:dyDescent="0.25">
      <c r="A639">
        <v>1676</v>
      </c>
      <c r="B639" s="1" t="s">
        <v>354</v>
      </c>
      <c r="C639" s="1" t="str">
        <f t="shared" si="9"/>
        <v>Quebec</v>
      </c>
      <c r="D639" s="1" t="s">
        <v>73</v>
      </c>
      <c r="E639" s="5">
        <v>44</v>
      </c>
      <c r="F639" s="1" t="s">
        <v>47</v>
      </c>
      <c r="G639" s="1" t="s">
        <v>1474</v>
      </c>
      <c r="H639" t="s">
        <v>2270</v>
      </c>
      <c r="I639" s="1" t="s">
        <v>43</v>
      </c>
      <c r="J639" s="1" t="s">
        <v>25</v>
      </c>
      <c r="K639" s="1" t="s">
        <v>19</v>
      </c>
      <c r="L639" s="1" t="s">
        <v>45</v>
      </c>
      <c r="M639" s="1" t="s">
        <v>1475</v>
      </c>
      <c r="N639" s="1" t="s">
        <v>60</v>
      </c>
      <c r="O639" s="1" t="s">
        <v>2276</v>
      </c>
    </row>
    <row r="640" spans="1:15" x14ac:dyDescent="0.25">
      <c r="A640">
        <v>1677</v>
      </c>
      <c r="B640" s="1" t="s">
        <v>354</v>
      </c>
      <c r="C640" s="1" t="str">
        <f t="shared" si="9"/>
        <v>Quebec</v>
      </c>
      <c r="D640" s="1" t="s">
        <v>73</v>
      </c>
      <c r="E640" s="5">
        <v>44</v>
      </c>
      <c r="F640" s="1" t="s">
        <v>47</v>
      </c>
      <c r="G640" s="1" t="s">
        <v>1047</v>
      </c>
      <c r="H640" t="s">
        <v>2270</v>
      </c>
      <c r="I640" s="1" t="s">
        <v>43</v>
      </c>
      <c r="J640" s="1" t="s">
        <v>25</v>
      </c>
      <c r="K640" s="1" t="s">
        <v>19</v>
      </c>
      <c r="L640" s="1" t="s">
        <v>20</v>
      </c>
      <c r="M640" s="1" t="s">
        <v>1476</v>
      </c>
      <c r="N640" s="1" t="s">
        <v>22</v>
      </c>
      <c r="O640" s="1" t="s">
        <v>2276</v>
      </c>
    </row>
    <row r="641" spans="1:15" x14ac:dyDescent="0.25">
      <c r="A641">
        <v>1699</v>
      </c>
      <c r="B641" s="1" t="s">
        <v>354</v>
      </c>
      <c r="C641" s="1" t="str">
        <f t="shared" si="9"/>
        <v>Quebec</v>
      </c>
      <c r="D641" s="1" t="s">
        <v>28</v>
      </c>
      <c r="E641" s="5">
        <v>39</v>
      </c>
      <c r="F641" s="1" t="s">
        <v>1477</v>
      </c>
      <c r="G641" s="1" t="s">
        <v>1478</v>
      </c>
      <c r="H641" t="s">
        <v>2270</v>
      </c>
      <c r="I641" s="1" t="s">
        <v>17</v>
      </c>
      <c r="J641" s="1" t="s">
        <v>25</v>
      </c>
      <c r="K641" s="1" t="s">
        <v>31</v>
      </c>
      <c r="L641" s="1" t="s">
        <v>91</v>
      </c>
      <c r="M641" s="1" t="s">
        <v>1479</v>
      </c>
      <c r="N641" s="1" t="s">
        <v>60</v>
      </c>
      <c r="O641" s="1" t="s">
        <v>2276</v>
      </c>
    </row>
    <row r="642" spans="1:15" x14ac:dyDescent="0.25">
      <c r="A642">
        <v>1700</v>
      </c>
      <c r="B642" s="1" t="s">
        <v>354</v>
      </c>
      <c r="C642" s="1" t="str">
        <f t="shared" ref="C642:C705" si="10">IF(B642="NB","New Brunswick",IF(B642="AB","Alberta",IF(B642="BC","British Columbia",IF(B642="MB","Manitoba",IF(B642="NL","Newfoundland and Labrador",IF(B642="NS","Nova Scotia",IF(B642="ON","Ontario",IF(B642="PE","Prince Edward Island",IF(B642="QC","Quebec",IF(B642="SK","Saskatchewan",""))))))))))</f>
        <v>Quebec</v>
      </c>
      <c r="D642" s="1" t="s">
        <v>28</v>
      </c>
      <c r="E642" s="5">
        <v>39</v>
      </c>
      <c r="F642" s="1" t="s">
        <v>1480</v>
      </c>
      <c r="G642" s="1" t="s">
        <v>1481</v>
      </c>
      <c r="H642" t="s">
        <v>2270</v>
      </c>
      <c r="I642" s="1" t="s">
        <v>17</v>
      </c>
      <c r="J642" s="1" t="s">
        <v>25</v>
      </c>
      <c r="K642" s="1" t="s">
        <v>19</v>
      </c>
      <c r="L642" s="1" t="s">
        <v>91</v>
      </c>
      <c r="M642" s="1" t="s">
        <v>1482</v>
      </c>
      <c r="N642" s="1" t="s">
        <v>60</v>
      </c>
      <c r="O642" s="1" t="s">
        <v>2276</v>
      </c>
    </row>
    <row r="643" spans="1:15" x14ac:dyDescent="0.25">
      <c r="A643">
        <v>1704</v>
      </c>
      <c r="B643" s="1" t="s">
        <v>354</v>
      </c>
      <c r="C643" s="1" t="str">
        <f t="shared" si="10"/>
        <v>Quebec</v>
      </c>
      <c r="D643" s="1" t="s">
        <v>28</v>
      </c>
      <c r="E643" s="5">
        <v>35</v>
      </c>
      <c r="F643" s="1" t="s">
        <v>1483</v>
      </c>
      <c r="G643" s="1" t="s">
        <v>1484</v>
      </c>
      <c r="H643" t="s">
        <v>2270</v>
      </c>
      <c r="I643" s="1" t="s">
        <v>17</v>
      </c>
      <c r="J643" s="1" t="s">
        <v>25</v>
      </c>
      <c r="K643" s="1" t="s">
        <v>19</v>
      </c>
      <c r="L643" s="1" t="s">
        <v>32</v>
      </c>
      <c r="M643" s="1" t="s">
        <v>1485</v>
      </c>
      <c r="N643" s="1" t="s">
        <v>60</v>
      </c>
      <c r="O643" s="1" t="s">
        <v>2276</v>
      </c>
    </row>
    <row r="644" spans="1:15" x14ac:dyDescent="0.25">
      <c r="A644">
        <v>1705</v>
      </c>
      <c r="B644" s="1" t="s">
        <v>354</v>
      </c>
      <c r="C644" s="1" t="str">
        <f t="shared" si="10"/>
        <v>Quebec</v>
      </c>
      <c r="D644" s="1" t="s">
        <v>28</v>
      </c>
      <c r="E644" s="5">
        <v>42</v>
      </c>
      <c r="F644" s="1" t="s">
        <v>1486</v>
      </c>
      <c r="G644" s="1" t="s">
        <v>32</v>
      </c>
      <c r="H644" t="s">
        <v>2270</v>
      </c>
      <c r="I644" s="1" t="s">
        <v>17</v>
      </c>
      <c r="J644" s="1" t="s">
        <v>25</v>
      </c>
      <c r="K644" s="1" t="s">
        <v>107</v>
      </c>
      <c r="L644" s="1" t="s">
        <v>20</v>
      </c>
      <c r="M644" s="1" t="s">
        <v>1487</v>
      </c>
      <c r="N644" s="1" t="s">
        <v>60</v>
      </c>
      <c r="O644" s="1" t="s">
        <v>2276</v>
      </c>
    </row>
    <row r="645" spans="1:15" x14ac:dyDescent="0.25">
      <c r="A645">
        <v>1706</v>
      </c>
      <c r="B645" s="1" t="s">
        <v>354</v>
      </c>
      <c r="C645" s="1" t="str">
        <f t="shared" si="10"/>
        <v>Quebec</v>
      </c>
      <c r="D645" s="1" t="s">
        <v>28</v>
      </c>
      <c r="E645" s="5">
        <v>54</v>
      </c>
      <c r="F645" s="1" t="s">
        <v>1488</v>
      </c>
      <c r="G645" s="1" t="s">
        <v>1489</v>
      </c>
      <c r="H645" t="s">
        <v>2270</v>
      </c>
      <c r="I645" s="1" t="s">
        <v>43</v>
      </c>
      <c r="J645" s="1" t="s">
        <v>25</v>
      </c>
      <c r="K645" s="1" t="s">
        <v>31</v>
      </c>
      <c r="L645" s="1" t="s">
        <v>45</v>
      </c>
      <c r="M645" s="1" t="s">
        <v>1490</v>
      </c>
      <c r="N645" s="1" t="s">
        <v>22</v>
      </c>
      <c r="O645" s="1" t="s">
        <v>2276</v>
      </c>
    </row>
    <row r="646" spans="1:15" x14ac:dyDescent="0.25">
      <c r="A646">
        <v>1707</v>
      </c>
      <c r="B646" s="1" t="s">
        <v>354</v>
      </c>
      <c r="C646" s="1" t="str">
        <f t="shared" si="10"/>
        <v>Quebec</v>
      </c>
      <c r="D646" s="1" t="s">
        <v>73</v>
      </c>
      <c r="E646" s="5">
        <v>50</v>
      </c>
      <c r="F646" s="1" t="s">
        <v>1491</v>
      </c>
      <c r="G646" s="1" t="s">
        <v>32</v>
      </c>
      <c r="H646" t="s">
        <v>2270</v>
      </c>
      <c r="I646" s="1" t="s">
        <v>43</v>
      </c>
      <c r="J646" s="1" t="s">
        <v>25</v>
      </c>
      <c r="K646" s="1" t="s">
        <v>31</v>
      </c>
      <c r="L646" s="1" t="s">
        <v>45</v>
      </c>
      <c r="M646" s="1" t="s">
        <v>1492</v>
      </c>
      <c r="N646" s="1" t="s">
        <v>22</v>
      </c>
      <c r="O646" s="1" t="s">
        <v>2276</v>
      </c>
    </row>
    <row r="647" spans="1:15" x14ac:dyDescent="0.25">
      <c r="A647">
        <v>1708</v>
      </c>
      <c r="B647" s="1" t="s">
        <v>354</v>
      </c>
      <c r="C647" s="1" t="str">
        <f t="shared" si="10"/>
        <v>Quebec</v>
      </c>
      <c r="D647" s="1" t="s">
        <v>73</v>
      </c>
      <c r="E647" s="5">
        <v>50</v>
      </c>
      <c r="F647" s="1" t="s">
        <v>1493</v>
      </c>
      <c r="G647" s="1" t="s">
        <v>1494</v>
      </c>
      <c r="H647" t="s">
        <v>2270</v>
      </c>
      <c r="I647" s="1" t="s">
        <v>24</v>
      </c>
      <c r="J647" s="1" t="s">
        <v>25</v>
      </c>
      <c r="K647" s="1" t="s">
        <v>19</v>
      </c>
      <c r="L647" s="1" t="s">
        <v>45</v>
      </c>
      <c r="M647" s="1" t="s">
        <v>1495</v>
      </c>
      <c r="N647" s="1" t="s">
        <v>22</v>
      </c>
      <c r="O647" s="1" t="s">
        <v>2276</v>
      </c>
    </row>
    <row r="648" spans="1:15" x14ac:dyDescent="0.25">
      <c r="A648">
        <v>1709</v>
      </c>
      <c r="B648" s="1" t="s">
        <v>354</v>
      </c>
      <c r="C648" s="1" t="str">
        <f t="shared" si="10"/>
        <v>Quebec</v>
      </c>
      <c r="D648" s="1" t="s">
        <v>73</v>
      </c>
      <c r="E648" s="5">
        <v>50</v>
      </c>
      <c r="F648" s="1" t="s">
        <v>1496</v>
      </c>
      <c r="G648" s="1" t="s">
        <v>1497</v>
      </c>
      <c r="H648" t="s">
        <v>2270</v>
      </c>
      <c r="I648" s="1" t="s">
        <v>24</v>
      </c>
      <c r="J648" s="1" t="s">
        <v>25</v>
      </c>
      <c r="K648" s="1" t="s">
        <v>19</v>
      </c>
      <c r="L648" s="1" t="s">
        <v>20</v>
      </c>
      <c r="M648" s="1" t="s">
        <v>1498</v>
      </c>
      <c r="N648" s="1" t="s">
        <v>22</v>
      </c>
      <c r="O648" s="1" t="s">
        <v>2276</v>
      </c>
    </row>
    <row r="649" spans="1:15" x14ac:dyDescent="0.25">
      <c r="A649">
        <v>1710</v>
      </c>
      <c r="B649" s="1" t="s">
        <v>354</v>
      </c>
      <c r="C649" s="1" t="str">
        <f t="shared" si="10"/>
        <v>Quebec</v>
      </c>
      <c r="D649" s="1" t="s">
        <v>73</v>
      </c>
      <c r="E649" s="5">
        <v>55</v>
      </c>
      <c r="F649" s="1" t="s">
        <v>1499</v>
      </c>
      <c r="G649" s="1" t="s">
        <v>32</v>
      </c>
      <c r="H649" t="s">
        <v>2270</v>
      </c>
      <c r="I649" s="1" t="s">
        <v>40</v>
      </c>
      <c r="J649" s="1" t="s">
        <v>25</v>
      </c>
      <c r="K649" s="1" t="s">
        <v>31</v>
      </c>
      <c r="L649" s="1" t="s">
        <v>91</v>
      </c>
      <c r="M649" s="1" t="s">
        <v>1500</v>
      </c>
      <c r="N649" s="1" t="s">
        <v>22</v>
      </c>
      <c r="O649" s="1" t="s">
        <v>2276</v>
      </c>
    </row>
    <row r="650" spans="1:15" x14ac:dyDescent="0.25">
      <c r="A650">
        <v>1711</v>
      </c>
      <c r="B650" s="1" t="s">
        <v>354</v>
      </c>
      <c r="C650" s="1" t="str">
        <f t="shared" si="10"/>
        <v>Quebec</v>
      </c>
      <c r="D650" s="1" t="s">
        <v>73</v>
      </c>
      <c r="E650" s="5">
        <v>50</v>
      </c>
      <c r="F650" s="1" t="s">
        <v>47</v>
      </c>
      <c r="G650" s="1" t="s">
        <v>1501</v>
      </c>
      <c r="H650" t="s">
        <v>2270</v>
      </c>
      <c r="I650" s="1" t="s">
        <v>43</v>
      </c>
      <c r="J650" s="1" t="s">
        <v>25</v>
      </c>
      <c r="K650" s="1" t="s">
        <v>19</v>
      </c>
      <c r="L650" s="1" t="s">
        <v>45</v>
      </c>
      <c r="M650" s="1" t="s">
        <v>1502</v>
      </c>
      <c r="N650" s="1" t="s">
        <v>22</v>
      </c>
      <c r="O650" s="1" t="s">
        <v>2276</v>
      </c>
    </row>
    <row r="651" spans="1:15" x14ac:dyDescent="0.25">
      <c r="A651">
        <v>1712</v>
      </c>
      <c r="B651" s="1" t="s">
        <v>354</v>
      </c>
      <c r="C651" s="1" t="str">
        <f t="shared" si="10"/>
        <v>Quebec</v>
      </c>
      <c r="D651" s="1" t="s">
        <v>28</v>
      </c>
      <c r="E651" s="5">
        <v>57</v>
      </c>
      <c r="F651" s="1" t="s">
        <v>47</v>
      </c>
      <c r="G651" s="1" t="s">
        <v>1503</v>
      </c>
      <c r="H651" t="s">
        <v>2270</v>
      </c>
      <c r="I651" s="1" t="s">
        <v>43</v>
      </c>
      <c r="J651" s="1" t="s">
        <v>25</v>
      </c>
      <c r="K651" s="1" t="s">
        <v>31</v>
      </c>
      <c r="L651" s="1" t="s">
        <v>91</v>
      </c>
      <c r="M651" s="1" t="s">
        <v>1504</v>
      </c>
      <c r="N651" s="1" t="s">
        <v>22</v>
      </c>
      <c r="O651" s="1" t="s">
        <v>2276</v>
      </c>
    </row>
    <row r="652" spans="1:15" x14ac:dyDescent="0.25">
      <c r="A652">
        <v>1713</v>
      </c>
      <c r="B652" s="1" t="s">
        <v>354</v>
      </c>
      <c r="C652" s="1" t="str">
        <f t="shared" si="10"/>
        <v>Quebec</v>
      </c>
      <c r="D652" s="1" t="s">
        <v>28</v>
      </c>
      <c r="E652" s="5">
        <v>57</v>
      </c>
      <c r="F652" s="1" t="s">
        <v>1505</v>
      </c>
      <c r="G652" s="1" t="s">
        <v>1506</v>
      </c>
      <c r="H652" t="s">
        <v>2270</v>
      </c>
      <c r="I652" s="1" t="s">
        <v>43</v>
      </c>
      <c r="J652" s="1" t="s">
        <v>25</v>
      </c>
      <c r="K652" s="1" t="s">
        <v>31</v>
      </c>
      <c r="L652" s="1" t="s">
        <v>91</v>
      </c>
      <c r="M652" s="1" t="s">
        <v>1507</v>
      </c>
      <c r="N652" s="1" t="s">
        <v>22</v>
      </c>
      <c r="O652" s="1" t="s">
        <v>2276</v>
      </c>
    </row>
    <row r="653" spans="1:15" x14ac:dyDescent="0.25">
      <c r="A653">
        <v>1714</v>
      </c>
      <c r="B653" s="1" t="s">
        <v>354</v>
      </c>
      <c r="C653" s="1" t="str">
        <f t="shared" si="10"/>
        <v>Quebec</v>
      </c>
      <c r="D653" s="1" t="s">
        <v>28</v>
      </c>
      <c r="E653" s="5">
        <v>60</v>
      </c>
      <c r="F653" s="1" t="s">
        <v>32</v>
      </c>
      <c r="G653" s="1" t="s">
        <v>32</v>
      </c>
      <c r="H653" t="s">
        <v>2270</v>
      </c>
      <c r="I653" s="1" t="s">
        <v>43</v>
      </c>
      <c r="J653" s="1" t="s">
        <v>25</v>
      </c>
      <c r="K653" s="1" t="s">
        <v>31</v>
      </c>
      <c r="L653" s="1" t="s">
        <v>32</v>
      </c>
      <c r="M653" s="1" t="s">
        <v>1508</v>
      </c>
      <c r="N653" s="1" t="s">
        <v>22</v>
      </c>
      <c r="O653" s="1" t="s">
        <v>2276</v>
      </c>
    </row>
    <row r="654" spans="1:15" x14ac:dyDescent="0.25">
      <c r="A654">
        <v>1715</v>
      </c>
      <c r="B654" s="1" t="s">
        <v>354</v>
      </c>
      <c r="C654" s="1" t="str">
        <f t="shared" si="10"/>
        <v>Quebec</v>
      </c>
      <c r="D654" s="1" t="s">
        <v>28</v>
      </c>
      <c r="E654" s="5">
        <v>50</v>
      </c>
      <c r="F654" s="1" t="s">
        <v>32</v>
      </c>
      <c r="G654" s="1" t="s">
        <v>32</v>
      </c>
      <c r="H654" t="s">
        <v>2270</v>
      </c>
      <c r="I654" s="1" t="s">
        <v>24</v>
      </c>
      <c r="J654" s="1" t="s">
        <v>25</v>
      </c>
      <c r="K654" s="1" t="s">
        <v>31</v>
      </c>
      <c r="L654" s="1" t="s">
        <v>32</v>
      </c>
      <c r="M654" s="1" t="s">
        <v>1509</v>
      </c>
      <c r="N654" s="1" t="s">
        <v>22</v>
      </c>
      <c r="O654" s="1" t="s">
        <v>2276</v>
      </c>
    </row>
    <row r="655" spans="1:15" x14ac:dyDescent="0.25">
      <c r="A655">
        <v>1716</v>
      </c>
      <c r="B655" s="1" t="s">
        <v>354</v>
      </c>
      <c r="C655" s="1" t="str">
        <f t="shared" si="10"/>
        <v>Quebec</v>
      </c>
      <c r="D655" s="1" t="s">
        <v>28</v>
      </c>
      <c r="E655" s="5">
        <v>50</v>
      </c>
      <c r="F655" s="1" t="s">
        <v>1510</v>
      </c>
      <c r="G655" s="1" t="s">
        <v>1511</v>
      </c>
      <c r="H655" t="s">
        <v>2270</v>
      </c>
      <c r="I655" s="1" t="s">
        <v>40</v>
      </c>
      <c r="J655" s="1" t="s">
        <v>25</v>
      </c>
      <c r="K655" s="1" t="s">
        <v>31</v>
      </c>
      <c r="L655" s="1" t="s">
        <v>91</v>
      </c>
      <c r="M655" s="1" t="s">
        <v>1512</v>
      </c>
      <c r="N655" s="1" t="s">
        <v>22</v>
      </c>
      <c r="O655" s="1" t="s">
        <v>2276</v>
      </c>
    </row>
    <row r="656" spans="1:15" x14ac:dyDescent="0.25">
      <c r="A656">
        <v>1717</v>
      </c>
      <c r="B656" s="1" t="s">
        <v>354</v>
      </c>
      <c r="C656" s="1" t="str">
        <f t="shared" si="10"/>
        <v>Quebec</v>
      </c>
      <c r="D656" s="1" t="s">
        <v>28</v>
      </c>
      <c r="E656" s="5">
        <v>50</v>
      </c>
      <c r="F656" s="1" t="s">
        <v>32</v>
      </c>
      <c r="G656" s="1" t="s">
        <v>1513</v>
      </c>
      <c r="H656" t="s">
        <v>2270</v>
      </c>
      <c r="I656" s="1" t="s">
        <v>40</v>
      </c>
      <c r="J656" s="1" t="s">
        <v>25</v>
      </c>
      <c r="K656" s="1" t="s">
        <v>31</v>
      </c>
      <c r="L656" s="1" t="s">
        <v>91</v>
      </c>
      <c r="M656" s="1" t="s">
        <v>1514</v>
      </c>
      <c r="N656" s="1" t="s">
        <v>22</v>
      </c>
      <c r="O656" s="1" t="s">
        <v>2276</v>
      </c>
    </row>
    <row r="657" spans="1:15" x14ac:dyDescent="0.25">
      <c r="A657">
        <v>1718</v>
      </c>
      <c r="B657" s="1" t="s">
        <v>354</v>
      </c>
      <c r="C657" s="1" t="str">
        <f t="shared" si="10"/>
        <v>Quebec</v>
      </c>
      <c r="D657" s="1" t="s">
        <v>28</v>
      </c>
      <c r="E657" s="5">
        <v>52</v>
      </c>
      <c r="F657" s="1" t="s">
        <v>1515</v>
      </c>
      <c r="G657" s="1" t="s">
        <v>1516</v>
      </c>
      <c r="H657" t="s">
        <v>2270</v>
      </c>
      <c r="I657" s="1" t="s">
        <v>43</v>
      </c>
      <c r="J657" s="1" t="s">
        <v>25</v>
      </c>
      <c r="K657" s="1" t="s">
        <v>31</v>
      </c>
      <c r="L657" s="1" t="s">
        <v>91</v>
      </c>
      <c r="M657" s="1" t="s">
        <v>1517</v>
      </c>
      <c r="N657" s="1" t="s">
        <v>22</v>
      </c>
      <c r="O657" s="1" t="s">
        <v>2276</v>
      </c>
    </row>
    <row r="658" spans="1:15" x14ac:dyDescent="0.25">
      <c r="A658">
        <v>1720</v>
      </c>
      <c r="B658" s="1" t="s">
        <v>354</v>
      </c>
      <c r="C658" s="1" t="str">
        <f t="shared" si="10"/>
        <v>Quebec</v>
      </c>
      <c r="D658" s="1" t="s">
        <v>28</v>
      </c>
      <c r="E658" s="5">
        <v>50</v>
      </c>
      <c r="F658" s="1" t="s">
        <v>1360</v>
      </c>
      <c r="G658" s="1" t="s">
        <v>1518</v>
      </c>
      <c r="H658" t="s">
        <v>2270</v>
      </c>
      <c r="I658" s="1" t="s">
        <v>17</v>
      </c>
      <c r="J658" s="1" t="s">
        <v>25</v>
      </c>
      <c r="K658" s="1" t="s">
        <v>31</v>
      </c>
      <c r="L658" s="1" t="s">
        <v>91</v>
      </c>
      <c r="M658" s="1" t="s">
        <v>1519</v>
      </c>
      <c r="N658" s="1" t="s">
        <v>22</v>
      </c>
      <c r="O658" s="1" t="s">
        <v>2276</v>
      </c>
    </row>
    <row r="659" spans="1:15" x14ac:dyDescent="0.25">
      <c r="A659">
        <v>1721</v>
      </c>
      <c r="B659" s="1" t="s">
        <v>354</v>
      </c>
      <c r="C659" s="1" t="str">
        <f t="shared" si="10"/>
        <v>Quebec</v>
      </c>
      <c r="D659" s="1" t="s">
        <v>28</v>
      </c>
      <c r="E659" s="5">
        <v>50</v>
      </c>
      <c r="F659" s="1" t="s">
        <v>1520</v>
      </c>
      <c r="G659" s="1" t="s">
        <v>1521</v>
      </c>
      <c r="H659" t="s">
        <v>2270</v>
      </c>
      <c r="I659" s="1" t="s">
        <v>24</v>
      </c>
      <c r="J659" s="1" t="s">
        <v>25</v>
      </c>
      <c r="K659" s="1" t="s">
        <v>31</v>
      </c>
      <c r="L659" s="1" t="s">
        <v>91</v>
      </c>
      <c r="M659" s="1" t="s">
        <v>1522</v>
      </c>
      <c r="N659" s="1" t="s">
        <v>22</v>
      </c>
      <c r="O659" s="1" t="s">
        <v>2276</v>
      </c>
    </row>
    <row r="660" spans="1:15" x14ac:dyDescent="0.25">
      <c r="A660">
        <v>1722</v>
      </c>
      <c r="B660" s="1" t="s">
        <v>354</v>
      </c>
      <c r="C660" s="1" t="str">
        <f t="shared" si="10"/>
        <v>Quebec</v>
      </c>
      <c r="D660" s="1" t="s">
        <v>28</v>
      </c>
      <c r="E660" s="5">
        <v>50</v>
      </c>
      <c r="F660" s="1" t="s">
        <v>1360</v>
      </c>
      <c r="G660" s="1" t="s">
        <v>1523</v>
      </c>
      <c r="H660" t="s">
        <v>2270</v>
      </c>
      <c r="I660" s="1" t="s">
        <v>24</v>
      </c>
      <c r="J660" s="1" t="s">
        <v>25</v>
      </c>
      <c r="K660" s="1" t="s">
        <v>31</v>
      </c>
      <c r="L660" s="1" t="s">
        <v>91</v>
      </c>
      <c r="M660" s="1" t="s">
        <v>1524</v>
      </c>
      <c r="N660" s="1" t="s">
        <v>22</v>
      </c>
      <c r="O660" s="1" t="s">
        <v>2276</v>
      </c>
    </row>
    <row r="661" spans="1:15" x14ac:dyDescent="0.25">
      <c r="A661">
        <v>1723</v>
      </c>
      <c r="B661" s="1" t="s">
        <v>354</v>
      </c>
      <c r="C661" s="1" t="str">
        <f t="shared" si="10"/>
        <v>Quebec</v>
      </c>
      <c r="D661" s="1" t="s">
        <v>28</v>
      </c>
      <c r="E661" s="5">
        <v>50</v>
      </c>
      <c r="F661" s="1" t="s">
        <v>1525</v>
      </c>
      <c r="G661" s="1" t="s">
        <v>1526</v>
      </c>
      <c r="H661" t="s">
        <v>2270</v>
      </c>
      <c r="I661" s="1" t="s">
        <v>17</v>
      </c>
      <c r="J661" s="1" t="s">
        <v>25</v>
      </c>
      <c r="K661" s="1" t="s">
        <v>31</v>
      </c>
      <c r="L661" s="1" t="s">
        <v>91</v>
      </c>
      <c r="M661" s="1" t="s">
        <v>1527</v>
      </c>
      <c r="N661" s="1" t="s">
        <v>22</v>
      </c>
      <c r="O661" s="1" t="s">
        <v>2276</v>
      </c>
    </row>
    <row r="662" spans="1:15" x14ac:dyDescent="0.25">
      <c r="A662">
        <v>1725</v>
      </c>
      <c r="B662" s="1" t="s">
        <v>354</v>
      </c>
      <c r="C662" s="1" t="str">
        <f t="shared" si="10"/>
        <v>Quebec</v>
      </c>
      <c r="D662" s="1" t="s">
        <v>28</v>
      </c>
      <c r="E662" s="5">
        <v>50</v>
      </c>
      <c r="F662" s="1" t="s">
        <v>47</v>
      </c>
      <c r="G662" s="1" t="s">
        <v>1528</v>
      </c>
      <c r="H662" t="s">
        <v>2270</v>
      </c>
      <c r="I662" s="1" t="s">
        <v>24</v>
      </c>
      <c r="J662" s="1" t="s">
        <v>25</v>
      </c>
      <c r="K662" s="1" t="s">
        <v>31</v>
      </c>
      <c r="L662" s="1" t="s">
        <v>91</v>
      </c>
      <c r="M662" s="1" t="s">
        <v>1529</v>
      </c>
      <c r="N662" s="1" t="s">
        <v>22</v>
      </c>
      <c r="O662" s="1" t="s">
        <v>2276</v>
      </c>
    </row>
    <row r="663" spans="1:15" x14ac:dyDescent="0.25">
      <c r="A663">
        <v>1726</v>
      </c>
      <c r="B663" s="1" t="s">
        <v>354</v>
      </c>
      <c r="C663" s="1" t="str">
        <f t="shared" si="10"/>
        <v>Quebec</v>
      </c>
      <c r="D663" s="1" t="s">
        <v>28</v>
      </c>
      <c r="E663" s="5">
        <v>52</v>
      </c>
      <c r="F663" s="1" t="s">
        <v>1530</v>
      </c>
      <c r="G663" s="1" t="s">
        <v>1531</v>
      </c>
      <c r="H663" t="s">
        <v>2270</v>
      </c>
      <c r="I663" s="1" t="s">
        <v>24</v>
      </c>
      <c r="J663" s="1" t="s">
        <v>25</v>
      </c>
      <c r="K663" s="1" t="s">
        <v>31</v>
      </c>
      <c r="L663" s="1" t="s">
        <v>91</v>
      </c>
      <c r="M663" s="1" t="s">
        <v>1532</v>
      </c>
      <c r="N663" s="1" t="s">
        <v>22</v>
      </c>
      <c r="O663" s="1" t="s">
        <v>2276</v>
      </c>
    </row>
    <row r="664" spans="1:15" x14ac:dyDescent="0.25">
      <c r="A664">
        <v>1727</v>
      </c>
      <c r="B664" s="1" t="s">
        <v>354</v>
      </c>
      <c r="C664" s="1" t="str">
        <f t="shared" si="10"/>
        <v>Quebec</v>
      </c>
      <c r="D664" s="1" t="s">
        <v>28</v>
      </c>
      <c r="E664" s="5">
        <v>38</v>
      </c>
      <c r="F664" s="1" t="s">
        <v>1533</v>
      </c>
      <c r="G664" s="1" t="s">
        <v>32</v>
      </c>
      <c r="H664" t="s">
        <v>2270</v>
      </c>
      <c r="I664" s="1" t="s">
        <v>17</v>
      </c>
      <c r="J664" s="1" t="s">
        <v>25</v>
      </c>
      <c r="K664" s="1" t="s">
        <v>31</v>
      </c>
      <c r="L664" s="1" t="s">
        <v>91</v>
      </c>
      <c r="M664" s="1" t="s">
        <v>1534</v>
      </c>
      <c r="N664" s="1" t="s">
        <v>22</v>
      </c>
      <c r="O664" s="1" t="s">
        <v>2276</v>
      </c>
    </row>
    <row r="665" spans="1:15" x14ac:dyDescent="0.25">
      <c r="A665">
        <v>1728</v>
      </c>
      <c r="B665" s="1" t="s">
        <v>354</v>
      </c>
      <c r="C665" s="1" t="str">
        <f t="shared" si="10"/>
        <v>Quebec</v>
      </c>
      <c r="D665" s="1" t="s">
        <v>73</v>
      </c>
      <c r="E665" s="5">
        <v>65</v>
      </c>
      <c r="F665" s="1" t="s">
        <v>1535</v>
      </c>
      <c r="G665" s="1" t="s">
        <v>1536</v>
      </c>
      <c r="H665" t="s">
        <v>2270</v>
      </c>
      <c r="I665" s="1" t="s">
        <v>40</v>
      </c>
      <c r="J665" s="1" t="s">
        <v>44</v>
      </c>
      <c r="K665" s="1" t="s">
        <v>31</v>
      </c>
      <c r="L665" s="1" t="s">
        <v>91</v>
      </c>
      <c r="M665" s="1" t="s">
        <v>1537</v>
      </c>
      <c r="N665" s="1" t="s">
        <v>22</v>
      </c>
      <c r="O665" s="1" t="s">
        <v>2276</v>
      </c>
    </row>
    <row r="666" spans="1:15" x14ac:dyDescent="0.25">
      <c r="A666">
        <v>1729</v>
      </c>
      <c r="B666" s="1" t="s">
        <v>354</v>
      </c>
      <c r="C666" s="1" t="str">
        <f t="shared" si="10"/>
        <v>Quebec</v>
      </c>
      <c r="D666" s="1" t="s">
        <v>73</v>
      </c>
      <c r="E666" s="5">
        <v>55</v>
      </c>
      <c r="F666" s="1" t="s">
        <v>506</v>
      </c>
      <c r="G666" s="1" t="s">
        <v>1538</v>
      </c>
      <c r="H666" t="s">
        <v>2270</v>
      </c>
      <c r="I666" s="1" t="s">
        <v>24</v>
      </c>
      <c r="J666" s="1" t="s">
        <v>44</v>
      </c>
      <c r="K666" s="1" t="s">
        <v>31</v>
      </c>
      <c r="L666" s="1" t="s">
        <v>91</v>
      </c>
      <c r="M666" s="1" t="s">
        <v>1539</v>
      </c>
      <c r="N666" s="1" t="s">
        <v>22</v>
      </c>
      <c r="O666" s="1" t="s">
        <v>2276</v>
      </c>
    </row>
    <row r="667" spans="1:15" x14ac:dyDescent="0.25">
      <c r="A667">
        <v>1730</v>
      </c>
      <c r="B667" s="1" t="s">
        <v>354</v>
      </c>
      <c r="C667" s="1" t="str">
        <f t="shared" si="10"/>
        <v>Quebec</v>
      </c>
      <c r="D667" s="1" t="s">
        <v>73</v>
      </c>
      <c r="E667" s="5">
        <v>55</v>
      </c>
      <c r="F667" s="1" t="s">
        <v>47</v>
      </c>
      <c r="G667" s="1" t="s">
        <v>32</v>
      </c>
      <c r="H667" t="s">
        <v>2270</v>
      </c>
      <c r="I667" s="1" t="s">
        <v>24</v>
      </c>
      <c r="J667" s="1" t="s">
        <v>44</v>
      </c>
      <c r="K667" s="1" t="s">
        <v>31</v>
      </c>
      <c r="L667" s="1" t="s">
        <v>20</v>
      </c>
      <c r="M667" s="1" t="s">
        <v>1540</v>
      </c>
      <c r="N667" s="1" t="s">
        <v>22</v>
      </c>
      <c r="O667" s="1" t="s">
        <v>2276</v>
      </c>
    </row>
    <row r="668" spans="1:15" x14ac:dyDescent="0.25">
      <c r="A668">
        <v>1731</v>
      </c>
      <c r="B668" s="1" t="s">
        <v>354</v>
      </c>
      <c r="C668" s="1" t="str">
        <f t="shared" si="10"/>
        <v>Quebec</v>
      </c>
      <c r="D668" s="1" t="s">
        <v>73</v>
      </c>
      <c r="E668" s="5">
        <v>50</v>
      </c>
      <c r="F668" s="1" t="s">
        <v>47</v>
      </c>
      <c r="G668" s="1" t="s">
        <v>32</v>
      </c>
      <c r="H668" t="s">
        <v>2270</v>
      </c>
      <c r="I668" s="1" t="s">
        <v>24</v>
      </c>
      <c r="J668" s="1" t="s">
        <v>44</v>
      </c>
      <c r="K668" s="1" t="s">
        <v>31</v>
      </c>
      <c r="L668" s="1" t="s">
        <v>20</v>
      </c>
      <c r="M668" s="1" t="s">
        <v>1541</v>
      </c>
      <c r="N668" s="1" t="s">
        <v>22</v>
      </c>
      <c r="O668" s="1" t="s">
        <v>2276</v>
      </c>
    </row>
    <row r="669" spans="1:15" x14ac:dyDescent="0.25">
      <c r="A669">
        <v>1732</v>
      </c>
      <c r="B669" s="1" t="s">
        <v>354</v>
      </c>
      <c r="C669" s="1" t="str">
        <f t="shared" si="10"/>
        <v>Quebec</v>
      </c>
      <c r="D669" s="1" t="s">
        <v>73</v>
      </c>
      <c r="E669" s="5">
        <v>43</v>
      </c>
      <c r="F669" s="1" t="s">
        <v>47</v>
      </c>
      <c r="G669" s="1" t="s">
        <v>32</v>
      </c>
      <c r="H669" t="s">
        <v>2270</v>
      </c>
      <c r="I669" s="1" t="s">
        <v>24</v>
      </c>
      <c r="J669" s="1" t="s">
        <v>44</v>
      </c>
      <c r="K669" s="1" t="s">
        <v>19</v>
      </c>
      <c r="L669" s="1" t="s">
        <v>20</v>
      </c>
      <c r="M669" s="1" t="s">
        <v>1542</v>
      </c>
      <c r="N669" s="1" t="s">
        <v>22</v>
      </c>
      <c r="O669" s="1" t="s">
        <v>2276</v>
      </c>
    </row>
    <row r="670" spans="1:15" x14ac:dyDescent="0.25">
      <c r="A670">
        <v>1733</v>
      </c>
      <c r="B670" s="1" t="s">
        <v>354</v>
      </c>
      <c r="C670" s="1" t="str">
        <f t="shared" si="10"/>
        <v>Quebec</v>
      </c>
      <c r="D670" s="1" t="s">
        <v>28</v>
      </c>
      <c r="E670" s="5">
        <v>39</v>
      </c>
      <c r="F670" s="1" t="s">
        <v>32</v>
      </c>
      <c r="G670" s="1" t="s">
        <v>1543</v>
      </c>
      <c r="H670" t="s">
        <v>2270</v>
      </c>
      <c r="I670" s="1" t="s">
        <v>17</v>
      </c>
      <c r="J670" s="1" t="s">
        <v>25</v>
      </c>
      <c r="K670" s="1" t="s">
        <v>31</v>
      </c>
      <c r="L670" s="1" t="s">
        <v>91</v>
      </c>
      <c r="M670" s="1" t="s">
        <v>1544</v>
      </c>
      <c r="N670" s="1" t="s">
        <v>60</v>
      </c>
      <c r="O670" s="1" t="s">
        <v>2276</v>
      </c>
    </row>
    <row r="671" spans="1:15" x14ac:dyDescent="0.25">
      <c r="A671">
        <v>1734</v>
      </c>
      <c r="B671" s="1" t="s">
        <v>354</v>
      </c>
      <c r="C671" s="1" t="str">
        <f t="shared" si="10"/>
        <v>Quebec</v>
      </c>
      <c r="D671" s="1" t="s">
        <v>28</v>
      </c>
      <c r="E671" s="5">
        <v>39</v>
      </c>
      <c r="F671" s="1" t="s">
        <v>401</v>
      </c>
      <c r="G671" s="1" t="s">
        <v>1545</v>
      </c>
      <c r="H671" t="s">
        <v>2270</v>
      </c>
      <c r="I671" s="1" t="s">
        <v>17</v>
      </c>
      <c r="J671" s="1" t="s">
        <v>25</v>
      </c>
      <c r="K671" s="1" t="s">
        <v>31</v>
      </c>
      <c r="L671" s="1" t="s">
        <v>91</v>
      </c>
      <c r="M671" s="1" t="s">
        <v>1546</v>
      </c>
      <c r="N671" s="1" t="s">
        <v>60</v>
      </c>
      <c r="O671" s="1" t="s">
        <v>2276</v>
      </c>
    </row>
    <row r="672" spans="1:15" x14ac:dyDescent="0.25">
      <c r="A672">
        <v>1735</v>
      </c>
      <c r="B672" s="1" t="s">
        <v>354</v>
      </c>
      <c r="C672" s="1" t="str">
        <f t="shared" si="10"/>
        <v>Quebec</v>
      </c>
      <c r="D672" s="1" t="s">
        <v>28</v>
      </c>
      <c r="E672" s="5">
        <v>39</v>
      </c>
      <c r="F672" s="1" t="s">
        <v>1547</v>
      </c>
      <c r="G672" s="1" t="s">
        <v>32</v>
      </c>
      <c r="H672" t="s">
        <v>2270</v>
      </c>
      <c r="I672" s="1" t="s">
        <v>17</v>
      </c>
      <c r="J672" s="1" t="s">
        <v>25</v>
      </c>
      <c r="K672" s="1" t="s">
        <v>31</v>
      </c>
      <c r="L672" s="1" t="s">
        <v>91</v>
      </c>
      <c r="M672" s="1" t="s">
        <v>1548</v>
      </c>
      <c r="N672" s="1" t="s">
        <v>60</v>
      </c>
      <c r="O672" s="1" t="s">
        <v>2276</v>
      </c>
    </row>
    <row r="673" spans="1:15" x14ac:dyDescent="0.25">
      <c r="A673">
        <v>1736</v>
      </c>
      <c r="B673" s="1" t="s">
        <v>354</v>
      </c>
      <c r="C673" s="1" t="str">
        <f t="shared" si="10"/>
        <v>Quebec</v>
      </c>
      <c r="D673" s="1" t="s">
        <v>28</v>
      </c>
      <c r="E673" s="5">
        <v>39</v>
      </c>
      <c r="F673" s="1" t="s">
        <v>1549</v>
      </c>
      <c r="G673" s="1" t="s">
        <v>382</v>
      </c>
      <c r="H673" t="s">
        <v>2270</v>
      </c>
      <c r="I673" s="1" t="s">
        <v>17</v>
      </c>
      <c r="J673" s="1" t="s">
        <v>25</v>
      </c>
      <c r="K673" s="1" t="s">
        <v>31</v>
      </c>
      <c r="L673" s="1" t="s">
        <v>91</v>
      </c>
      <c r="M673" s="1" t="s">
        <v>1550</v>
      </c>
      <c r="N673" s="1" t="s">
        <v>60</v>
      </c>
      <c r="O673" s="1" t="s">
        <v>2276</v>
      </c>
    </row>
    <row r="674" spans="1:15" x14ac:dyDescent="0.25">
      <c r="A674">
        <v>1737</v>
      </c>
      <c r="B674" s="1" t="s">
        <v>354</v>
      </c>
      <c r="C674" s="1" t="str">
        <f t="shared" si="10"/>
        <v>Quebec</v>
      </c>
      <c r="D674" s="1" t="s">
        <v>28</v>
      </c>
      <c r="E674" s="5">
        <v>39</v>
      </c>
      <c r="F674" s="1" t="s">
        <v>1551</v>
      </c>
      <c r="G674" s="1" t="s">
        <v>32</v>
      </c>
      <c r="H674" t="s">
        <v>2270</v>
      </c>
      <c r="I674" s="1" t="s">
        <v>17</v>
      </c>
      <c r="J674" s="1" t="s">
        <v>25</v>
      </c>
      <c r="K674" s="1" t="s">
        <v>31</v>
      </c>
      <c r="L674" s="1" t="s">
        <v>91</v>
      </c>
      <c r="M674" s="1" t="s">
        <v>1552</v>
      </c>
      <c r="N674" s="1" t="s">
        <v>60</v>
      </c>
      <c r="O674" s="1" t="s">
        <v>2276</v>
      </c>
    </row>
    <row r="675" spans="1:15" x14ac:dyDescent="0.25">
      <c r="A675">
        <v>1738</v>
      </c>
      <c r="B675" s="1" t="s">
        <v>354</v>
      </c>
      <c r="C675" s="1" t="str">
        <f t="shared" si="10"/>
        <v>Quebec</v>
      </c>
      <c r="D675" s="1" t="s">
        <v>28</v>
      </c>
      <c r="E675" s="5">
        <v>45</v>
      </c>
      <c r="F675" s="1" t="s">
        <v>407</v>
      </c>
      <c r="G675" s="1" t="s">
        <v>1553</v>
      </c>
      <c r="H675" t="s">
        <v>2270</v>
      </c>
      <c r="I675" s="1" t="s">
        <v>17</v>
      </c>
      <c r="J675" s="1" t="s">
        <v>25</v>
      </c>
      <c r="K675" s="1" t="s">
        <v>31</v>
      </c>
      <c r="L675" s="1" t="s">
        <v>91</v>
      </c>
      <c r="M675" s="1" t="s">
        <v>1554</v>
      </c>
      <c r="N675" s="1" t="s">
        <v>22</v>
      </c>
      <c r="O675" s="1" t="s">
        <v>2276</v>
      </c>
    </row>
    <row r="676" spans="1:15" x14ac:dyDescent="0.25">
      <c r="A676">
        <v>1739</v>
      </c>
      <c r="B676" s="1" t="s">
        <v>354</v>
      </c>
      <c r="C676" s="1" t="str">
        <f t="shared" si="10"/>
        <v>Quebec</v>
      </c>
      <c r="D676" s="1" t="s">
        <v>28</v>
      </c>
      <c r="E676" s="5">
        <v>40</v>
      </c>
      <c r="F676" s="1" t="s">
        <v>1555</v>
      </c>
      <c r="G676" s="1" t="s">
        <v>32</v>
      </c>
      <c r="H676" t="s">
        <v>2270</v>
      </c>
      <c r="I676" s="1" t="s">
        <v>17</v>
      </c>
      <c r="J676" s="1" t="s">
        <v>25</v>
      </c>
      <c r="K676" s="1" t="s">
        <v>31</v>
      </c>
      <c r="L676" s="1" t="s">
        <v>91</v>
      </c>
      <c r="M676" s="1" t="s">
        <v>1556</v>
      </c>
      <c r="N676" s="1" t="s">
        <v>22</v>
      </c>
      <c r="O676" s="1" t="s">
        <v>2276</v>
      </c>
    </row>
    <row r="677" spans="1:15" x14ac:dyDescent="0.25">
      <c r="A677">
        <v>1740</v>
      </c>
      <c r="B677" s="1" t="s">
        <v>354</v>
      </c>
      <c r="C677" s="1" t="str">
        <f t="shared" si="10"/>
        <v>Quebec</v>
      </c>
      <c r="D677" s="1" t="s">
        <v>28</v>
      </c>
      <c r="E677" s="5">
        <v>45</v>
      </c>
      <c r="F677" s="1" t="s">
        <v>1557</v>
      </c>
      <c r="G677" s="1" t="s">
        <v>32</v>
      </c>
      <c r="H677" t="s">
        <v>2270</v>
      </c>
      <c r="I677" s="1" t="s">
        <v>17</v>
      </c>
      <c r="J677" s="1" t="s">
        <v>25</v>
      </c>
      <c r="K677" s="1" t="s">
        <v>31</v>
      </c>
      <c r="L677" s="1" t="s">
        <v>91</v>
      </c>
      <c r="M677" s="1" t="s">
        <v>1558</v>
      </c>
      <c r="N677" s="1" t="s">
        <v>60</v>
      </c>
      <c r="O677" s="1" t="s">
        <v>2276</v>
      </c>
    </row>
    <row r="678" spans="1:15" x14ac:dyDescent="0.25">
      <c r="A678">
        <v>1741</v>
      </c>
      <c r="B678" s="1" t="s">
        <v>354</v>
      </c>
      <c r="C678" s="1" t="str">
        <f t="shared" si="10"/>
        <v>Quebec</v>
      </c>
      <c r="D678" s="1" t="s">
        <v>28</v>
      </c>
      <c r="E678" s="5">
        <v>35</v>
      </c>
      <c r="F678" s="1" t="s">
        <v>912</v>
      </c>
      <c r="G678" s="1" t="s">
        <v>1457</v>
      </c>
      <c r="H678" t="s">
        <v>2270</v>
      </c>
      <c r="I678" s="1" t="s">
        <v>64</v>
      </c>
      <c r="J678" s="1" t="s">
        <v>25</v>
      </c>
      <c r="K678" s="1" t="s">
        <v>31</v>
      </c>
      <c r="L678" s="1" t="s">
        <v>32</v>
      </c>
      <c r="M678" s="1" t="s">
        <v>1559</v>
      </c>
      <c r="N678" s="1" t="s">
        <v>22</v>
      </c>
      <c r="O678" s="1" t="s">
        <v>2276</v>
      </c>
    </row>
    <row r="679" spans="1:15" x14ac:dyDescent="0.25">
      <c r="A679">
        <v>1742</v>
      </c>
      <c r="B679" s="1" t="s">
        <v>354</v>
      </c>
      <c r="C679" s="1" t="str">
        <f t="shared" si="10"/>
        <v>Quebec</v>
      </c>
      <c r="D679" s="1" t="s">
        <v>28</v>
      </c>
      <c r="E679" s="5">
        <v>45</v>
      </c>
      <c r="F679" s="1" t="s">
        <v>1560</v>
      </c>
      <c r="G679" s="1" t="s">
        <v>1561</v>
      </c>
      <c r="H679" t="s">
        <v>2270</v>
      </c>
      <c r="I679" s="1" t="s">
        <v>17</v>
      </c>
      <c r="J679" s="1" t="s">
        <v>25</v>
      </c>
      <c r="K679" s="1" t="s">
        <v>31</v>
      </c>
      <c r="L679" s="1" t="s">
        <v>32</v>
      </c>
      <c r="M679" s="1" t="s">
        <v>1562</v>
      </c>
      <c r="N679" s="1" t="s">
        <v>22</v>
      </c>
      <c r="O679" s="1" t="s">
        <v>2276</v>
      </c>
    </row>
    <row r="680" spans="1:15" x14ac:dyDescent="0.25">
      <c r="A680">
        <v>1743</v>
      </c>
      <c r="B680" s="1" t="s">
        <v>354</v>
      </c>
      <c r="C680" s="1" t="str">
        <f t="shared" si="10"/>
        <v>Quebec</v>
      </c>
      <c r="D680" s="1" t="s">
        <v>28</v>
      </c>
      <c r="E680" s="5">
        <v>45</v>
      </c>
      <c r="F680" s="1" t="s">
        <v>47</v>
      </c>
      <c r="G680" s="1" t="s">
        <v>1563</v>
      </c>
      <c r="H680" t="s">
        <v>2270</v>
      </c>
      <c r="I680" s="1" t="s">
        <v>17</v>
      </c>
      <c r="J680" s="1" t="s">
        <v>25</v>
      </c>
      <c r="K680" s="1" t="s">
        <v>31</v>
      </c>
      <c r="L680" s="1" t="s">
        <v>32</v>
      </c>
      <c r="M680" s="1" t="s">
        <v>1564</v>
      </c>
      <c r="N680" s="1" t="s">
        <v>60</v>
      </c>
      <c r="O680" s="1" t="s">
        <v>2276</v>
      </c>
    </row>
    <row r="681" spans="1:15" x14ac:dyDescent="0.25">
      <c r="A681">
        <v>1744</v>
      </c>
      <c r="B681" s="1" t="s">
        <v>354</v>
      </c>
      <c r="C681" s="1" t="str">
        <f t="shared" si="10"/>
        <v>Quebec</v>
      </c>
      <c r="D681" s="1" t="s">
        <v>28</v>
      </c>
      <c r="E681" s="5">
        <v>42</v>
      </c>
      <c r="F681" s="1" t="s">
        <v>32</v>
      </c>
      <c r="G681" s="1" t="s">
        <v>452</v>
      </c>
      <c r="H681" t="s">
        <v>2270</v>
      </c>
      <c r="I681" s="1" t="s">
        <v>17</v>
      </c>
      <c r="J681" s="1" t="s">
        <v>25</v>
      </c>
      <c r="K681" s="1" t="s">
        <v>31</v>
      </c>
      <c r="L681" s="1" t="s">
        <v>91</v>
      </c>
      <c r="M681" s="1" t="s">
        <v>1565</v>
      </c>
      <c r="N681" s="1" t="s">
        <v>22</v>
      </c>
      <c r="O681" s="1" t="s">
        <v>2276</v>
      </c>
    </row>
    <row r="682" spans="1:15" x14ac:dyDescent="0.25">
      <c r="A682">
        <v>1745</v>
      </c>
      <c r="B682" s="1" t="s">
        <v>354</v>
      </c>
      <c r="C682" s="1" t="str">
        <f t="shared" si="10"/>
        <v>Quebec</v>
      </c>
      <c r="D682" s="1" t="s">
        <v>28</v>
      </c>
      <c r="E682" s="5">
        <v>39</v>
      </c>
      <c r="F682" s="1" t="s">
        <v>372</v>
      </c>
      <c r="G682" s="1" t="s">
        <v>1566</v>
      </c>
      <c r="H682" t="s">
        <v>2270</v>
      </c>
      <c r="I682" s="1" t="s">
        <v>17</v>
      </c>
      <c r="J682" s="1" t="s">
        <v>25</v>
      </c>
      <c r="K682" s="1" t="s">
        <v>31</v>
      </c>
      <c r="L682" s="1" t="s">
        <v>91</v>
      </c>
      <c r="M682" s="1" t="s">
        <v>1567</v>
      </c>
      <c r="N682" s="1" t="s">
        <v>60</v>
      </c>
      <c r="O682" s="1" t="s">
        <v>2276</v>
      </c>
    </row>
    <row r="683" spans="1:15" x14ac:dyDescent="0.25">
      <c r="A683">
        <v>1746</v>
      </c>
      <c r="B683" s="1" t="s">
        <v>354</v>
      </c>
      <c r="C683" s="1" t="str">
        <f t="shared" si="10"/>
        <v>Quebec</v>
      </c>
      <c r="D683" s="1" t="s">
        <v>28</v>
      </c>
      <c r="E683" s="5">
        <v>39</v>
      </c>
      <c r="F683" s="1" t="s">
        <v>1568</v>
      </c>
      <c r="G683" s="1" t="s">
        <v>1566</v>
      </c>
      <c r="H683" t="s">
        <v>2270</v>
      </c>
      <c r="I683" s="1" t="s">
        <v>17</v>
      </c>
      <c r="J683" s="1" t="s">
        <v>25</v>
      </c>
      <c r="K683" s="1" t="s">
        <v>31</v>
      </c>
      <c r="L683" s="1" t="s">
        <v>91</v>
      </c>
      <c r="M683" s="1" t="s">
        <v>1569</v>
      </c>
      <c r="N683" s="1" t="s">
        <v>60</v>
      </c>
      <c r="O683" s="1" t="s">
        <v>2276</v>
      </c>
    </row>
    <row r="684" spans="1:15" x14ac:dyDescent="0.25">
      <c r="A684">
        <v>1747</v>
      </c>
      <c r="B684" s="1" t="s">
        <v>354</v>
      </c>
      <c r="C684" s="1" t="str">
        <f t="shared" si="10"/>
        <v>Quebec</v>
      </c>
      <c r="D684" s="1" t="s">
        <v>28</v>
      </c>
      <c r="E684" s="5">
        <v>39</v>
      </c>
      <c r="F684" s="1" t="s">
        <v>372</v>
      </c>
      <c r="G684" s="1" t="s">
        <v>1566</v>
      </c>
      <c r="H684" t="s">
        <v>2270</v>
      </c>
      <c r="I684" s="1" t="s">
        <v>17</v>
      </c>
      <c r="J684" s="1" t="s">
        <v>25</v>
      </c>
      <c r="K684" s="1" t="s">
        <v>31</v>
      </c>
      <c r="L684" s="1" t="s">
        <v>91</v>
      </c>
      <c r="M684" s="1" t="s">
        <v>1570</v>
      </c>
      <c r="N684" s="1" t="s">
        <v>60</v>
      </c>
      <c r="O684" s="1" t="s">
        <v>2276</v>
      </c>
    </row>
    <row r="685" spans="1:15" x14ac:dyDescent="0.25">
      <c r="A685">
        <v>1748</v>
      </c>
      <c r="B685" s="1" t="s">
        <v>354</v>
      </c>
      <c r="C685" s="1" t="str">
        <f t="shared" si="10"/>
        <v>Quebec</v>
      </c>
      <c r="D685" s="1" t="s">
        <v>28</v>
      </c>
      <c r="E685" s="5">
        <v>42</v>
      </c>
      <c r="F685" s="1" t="s">
        <v>1571</v>
      </c>
      <c r="G685" s="1" t="s">
        <v>1572</v>
      </c>
      <c r="H685" t="s">
        <v>2270</v>
      </c>
      <c r="I685" s="1" t="s">
        <v>17</v>
      </c>
      <c r="J685" s="1" t="s">
        <v>25</v>
      </c>
      <c r="K685" s="1" t="s">
        <v>31</v>
      </c>
      <c r="L685" s="1" t="s">
        <v>91</v>
      </c>
      <c r="M685" s="1" t="s">
        <v>1573</v>
      </c>
      <c r="N685" s="1" t="s">
        <v>22</v>
      </c>
      <c r="O685" s="1" t="s">
        <v>2276</v>
      </c>
    </row>
    <row r="686" spans="1:15" x14ac:dyDescent="0.25">
      <c r="A686">
        <v>1749</v>
      </c>
      <c r="B686" s="1" t="s">
        <v>354</v>
      </c>
      <c r="C686" s="1" t="str">
        <f t="shared" si="10"/>
        <v>Quebec</v>
      </c>
      <c r="D686" s="1" t="s">
        <v>28</v>
      </c>
      <c r="E686" s="5">
        <v>42</v>
      </c>
      <c r="F686" s="1" t="s">
        <v>1574</v>
      </c>
      <c r="G686" s="1" t="s">
        <v>32</v>
      </c>
      <c r="H686" t="s">
        <v>2270</v>
      </c>
      <c r="I686" s="1" t="s">
        <v>17</v>
      </c>
      <c r="J686" s="1" t="s">
        <v>25</v>
      </c>
      <c r="K686" s="1" t="s">
        <v>31</v>
      </c>
      <c r="L686" s="1" t="s">
        <v>91</v>
      </c>
      <c r="M686" s="1" t="s">
        <v>1575</v>
      </c>
      <c r="N686" s="1" t="s">
        <v>22</v>
      </c>
      <c r="O686" s="1" t="s">
        <v>2276</v>
      </c>
    </row>
    <row r="687" spans="1:15" x14ac:dyDescent="0.25">
      <c r="A687">
        <v>1750</v>
      </c>
      <c r="B687" s="1" t="s">
        <v>354</v>
      </c>
      <c r="C687" s="1" t="str">
        <f t="shared" si="10"/>
        <v>Quebec</v>
      </c>
      <c r="D687" s="1" t="s">
        <v>28</v>
      </c>
      <c r="E687" s="5">
        <v>42</v>
      </c>
      <c r="F687" s="1" t="s">
        <v>407</v>
      </c>
      <c r="G687" s="1" t="s">
        <v>1576</v>
      </c>
      <c r="H687" t="s">
        <v>2270</v>
      </c>
      <c r="I687" s="1" t="s">
        <v>17</v>
      </c>
      <c r="J687" s="1" t="s">
        <v>25</v>
      </c>
      <c r="K687" s="1" t="s">
        <v>31</v>
      </c>
      <c r="L687" s="1" t="s">
        <v>91</v>
      </c>
      <c r="M687" s="1" t="s">
        <v>1577</v>
      </c>
      <c r="N687" s="1" t="s">
        <v>22</v>
      </c>
      <c r="O687" s="1" t="s">
        <v>2276</v>
      </c>
    </row>
    <row r="688" spans="1:15" x14ac:dyDescent="0.25">
      <c r="A688">
        <v>1751</v>
      </c>
      <c r="B688" s="1" t="s">
        <v>354</v>
      </c>
      <c r="C688" s="1" t="str">
        <f t="shared" si="10"/>
        <v>Quebec</v>
      </c>
      <c r="D688" s="1" t="s">
        <v>28</v>
      </c>
      <c r="E688" s="5">
        <v>42</v>
      </c>
      <c r="F688" s="1" t="s">
        <v>1578</v>
      </c>
      <c r="G688" s="1" t="s">
        <v>32</v>
      </c>
      <c r="H688" t="s">
        <v>2270</v>
      </c>
      <c r="I688" s="1" t="s">
        <v>17</v>
      </c>
      <c r="J688" s="1" t="s">
        <v>25</v>
      </c>
      <c r="K688" s="1" t="s">
        <v>31</v>
      </c>
      <c r="L688" s="1" t="s">
        <v>91</v>
      </c>
      <c r="M688" s="1" t="s">
        <v>1579</v>
      </c>
      <c r="N688" s="1" t="s">
        <v>60</v>
      </c>
      <c r="O688" s="1" t="s">
        <v>2276</v>
      </c>
    </row>
    <row r="689" spans="1:15" x14ac:dyDescent="0.25">
      <c r="A689">
        <v>1752</v>
      </c>
      <c r="B689" s="1" t="s">
        <v>354</v>
      </c>
      <c r="C689" s="1" t="str">
        <f t="shared" si="10"/>
        <v>Quebec</v>
      </c>
      <c r="D689" s="1" t="s">
        <v>28</v>
      </c>
      <c r="E689" s="5">
        <v>54</v>
      </c>
      <c r="F689" s="1" t="s">
        <v>1080</v>
      </c>
      <c r="G689" s="1" t="s">
        <v>1580</v>
      </c>
      <c r="H689" t="s">
        <v>2270</v>
      </c>
      <c r="I689" s="1" t="s">
        <v>43</v>
      </c>
      <c r="J689" s="1" t="s">
        <v>25</v>
      </c>
      <c r="K689" s="1" t="s">
        <v>31</v>
      </c>
      <c r="L689" s="1" t="s">
        <v>45</v>
      </c>
      <c r="M689" s="1" t="s">
        <v>1581</v>
      </c>
      <c r="N689" s="1" t="s">
        <v>22</v>
      </c>
      <c r="O689" s="1" t="s">
        <v>2276</v>
      </c>
    </row>
    <row r="690" spans="1:15" x14ac:dyDescent="0.25">
      <c r="A690">
        <v>1753</v>
      </c>
      <c r="B690" s="1" t="s">
        <v>354</v>
      </c>
      <c r="C690" s="1" t="str">
        <f t="shared" si="10"/>
        <v>Quebec</v>
      </c>
      <c r="D690" s="1" t="s">
        <v>28</v>
      </c>
      <c r="E690" s="5">
        <v>54</v>
      </c>
      <c r="F690" s="1" t="s">
        <v>32</v>
      </c>
      <c r="G690" s="1" t="s">
        <v>1582</v>
      </c>
      <c r="H690" t="s">
        <v>2270</v>
      </c>
      <c r="I690" s="1" t="s">
        <v>43</v>
      </c>
      <c r="J690" s="1" t="s">
        <v>25</v>
      </c>
      <c r="K690" s="1" t="s">
        <v>31</v>
      </c>
      <c r="L690" s="1" t="s">
        <v>20</v>
      </c>
      <c r="M690" s="1" t="s">
        <v>1583</v>
      </c>
      <c r="N690" s="1" t="s">
        <v>22</v>
      </c>
      <c r="O690" s="1" t="s">
        <v>2276</v>
      </c>
    </row>
    <row r="691" spans="1:15" x14ac:dyDescent="0.25">
      <c r="A691">
        <v>1754</v>
      </c>
      <c r="B691" s="1" t="s">
        <v>354</v>
      </c>
      <c r="C691" s="1" t="str">
        <f t="shared" si="10"/>
        <v>Quebec</v>
      </c>
      <c r="D691" s="1" t="s">
        <v>28</v>
      </c>
      <c r="E691" s="5">
        <v>42</v>
      </c>
      <c r="F691" s="1" t="s">
        <v>1584</v>
      </c>
      <c r="G691" s="1" t="s">
        <v>1585</v>
      </c>
      <c r="H691" t="s">
        <v>2270</v>
      </c>
      <c r="I691" s="1" t="s">
        <v>17</v>
      </c>
      <c r="J691" s="1" t="s">
        <v>25</v>
      </c>
      <c r="K691" s="1" t="s">
        <v>31</v>
      </c>
      <c r="L691" s="1" t="s">
        <v>32</v>
      </c>
      <c r="M691" s="1" t="s">
        <v>1586</v>
      </c>
      <c r="N691" s="1" t="s">
        <v>22</v>
      </c>
      <c r="O691" s="1" t="s">
        <v>2276</v>
      </c>
    </row>
    <row r="692" spans="1:15" x14ac:dyDescent="0.25">
      <c r="A692">
        <v>1755</v>
      </c>
      <c r="B692" s="1" t="s">
        <v>354</v>
      </c>
      <c r="C692" s="1" t="str">
        <f t="shared" si="10"/>
        <v>Quebec</v>
      </c>
      <c r="D692" s="1" t="s">
        <v>28</v>
      </c>
      <c r="E692" s="5">
        <v>42</v>
      </c>
      <c r="F692" s="1" t="s">
        <v>32</v>
      </c>
      <c r="G692" s="1" t="s">
        <v>1587</v>
      </c>
      <c r="H692" t="s">
        <v>2270</v>
      </c>
      <c r="I692" s="1" t="s">
        <v>24</v>
      </c>
      <c r="J692" s="1" t="s">
        <v>25</v>
      </c>
      <c r="K692" s="1" t="s">
        <v>31</v>
      </c>
      <c r="L692" s="1" t="s">
        <v>20</v>
      </c>
      <c r="M692" s="1" t="s">
        <v>1588</v>
      </c>
      <c r="N692" s="1" t="s">
        <v>22</v>
      </c>
      <c r="O692" s="1" t="s">
        <v>2276</v>
      </c>
    </row>
    <row r="693" spans="1:15" x14ac:dyDescent="0.25">
      <c r="A693">
        <v>1756</v>
      </c>
      <c r="B693" s="1" t="s">
        <v>354</v>
      </c>
      <c r="C693" s="1" t="str">
        <f t="shared" si="10"/>
        <v>Quebec</v>
      </c>
      <c r="D693" s="1" t="s">
        <v>28</v>
      </c>
      <c r="E693" s="5">
        <v>45</v>
      </c>
      <c r="F693" s="1" t="s">
        <v>1589</v>
      </c>
      <c r="G693" s="1" t="s">
        <v>1123</v>
      </c>
      <c r="H693" t="s">
        <v>2270</v>
      </c>
      <c r="I693" s="1" t="s">
        <v>24</v>
      </c>
      <c r="J693" s="1" t="s">
        <v>25</v>
      </c>
      <c r="K693" s="1" t="s">
        <v>31</v>
      </c>
      <c r="L693" s="1" t="s">
        <v>20</v>
      </c>
      <c r="M693" s="1" t="s">
        <v>1590</v>
      </c>
      <c r="N693" s="1" t="s">
        <v>22</v>
      </c>
      <c r="O693" s="1" t="s">
        <v>2276</v>
      </c>
    </row>
    <row r="694" spans="1:15" x14ac:dyDescent="0.25">
      <c r="A694">
        <v>1757</v>
      </c>
      <c r="B694" s="1" t="s">
        <v>354</v>
      </c>
      <c r="C694" s="1" t="str">
        <f t="shared" si="10"/>
        <v>Quebec</v>
      </c>
      <c r="D694" s="1" t="s">
        <v>28</v>
      </c>
      <c r="E694" s="5">
        <v>42</v>
      </c>
      <c r="F694" s="1" t="s">
        <v>1188</v>
      </c>
      <c r="G694" s="1" t="s">
        <v>1591</v>
      </c>
      <c r="H694" t="s">
        <v>2270</v>
      </c>
      <c r="I694" s="1" t="s">
        <v>17</v>
      </c>
      <c r="J694" s="1" t="s">
        <v>25</v>
      </c>
      <c r="K694" s="1" t="s">
        <v>31</v>
      </c>
      <c r="L694" s="1" t="s">
        <v>20</v>
      </c>
      <c r="M694" s="1" t="s">
        <v>1592</v>
      </c>
      <c r="N694" s="1" t="s">
        <v>22</v>
      </c>
      <c r="O694" s="1" t="s">
        <v>2276</v>
      </c>
    </row>
    <row r="695" spans="1:15" x14ac:dyDescent="0.25">
      <c r="A695">
        <v>1758</v>
      </c>
      <c r="B695" s="1" t="s">
        <v>354</v>
      </c>
      <c r="C695" s="1" t="str">
        <f t="shared" si="10"/>
        <v>Quebec</v>
      </c>
      <c r="D695" s="1" t="s">
        <v>73</v>
      </c>
      <c r="E695" s="5">
        <v>36</v>
      </c>
      <c r="F695" s="1" t="s">
        <v>1593</v>
      </c>
      <c r="G695" s="1" t="s">
        <v>1594</v>
      </c>
      <c r="H695" t="s">
        <v>2271</v>
      </c>
      <c r="I695" s="1" t="s">
        <v>17</v>
      </c>
      <c r="J695" s="1" t="s">
        <v>25</v>
      </c>
      <c r="K695" s="1" t="s">
        <v>19</v>
      </c>
      <c r="L695" s="1" t="s">
        <v>32</v>
      </c>
      <c r="M695" s="1" t="s">
        <v>1595</v>
      </c>
      <c r="N695" s="1" t="s">
        <v>60</v>
      </c>
      <c r="O695" s="1" t="s">
        <v>2276</v>
      </c>
    </row>
    <row r="696" spans="1:15" x14ac:dyDescent="0.25">
      <c r="A696">
        <v>1759</v>
      </c>
      <c r="B696" s="1" t="s">
        <v>354</v>
      </c>
      <c r="C696" s="1" t="str">
        <f t="shared" si="10"/>
        <v>Quebec</v>
      </c>
      <c r="D696" s="1" t="s">
        <v>73</v>
      </c>
      <c r="E696" s="5">
        <v>36</v>
      </c>
      <c r="F696" s="1" t="s">
        <v>1596</v>
      </c>
      <c r="G696" s="1" t="s">
        <v>1597</v>
      </c>
      <c r="H696" t="s">
        <v>2271</v>
      </c>
      <c r="I696" s="1" t="s">
        <v>17</v>
      </c>
      <c r="J696" s="1" t="s">
        <v>25</v>
      </c>
      <c r="K696" s="1" t="s">
        <v>19</v>
      </c>
      <c r="L696" s="1" t="s">
        <v>32</v>
      </c>
      <c r="M696" s="1" t="s">
        <v>1598</v>
      </c>
      <c r="N696" s="1" t="s">
        <v>60</v>
      </c>
      <c r="O696" s="1" t="s">
        <v>2276</v>
      </c>
    </row>
    <row r="697" spans="1:15" x14ac:dyDescent="0.25">
      <c r="A697">
        <v>1760</v>
      </c>
      <c r="B697" s="1" t="s">
        <v>354</v>
      </c>
      <c r="C697" s="1" t="str">
        <f t="shared" si="10"/>
        <v>Quebec</v>
      </c>
      <c r="D697" s="1" t="s">
        <v>73</v>
      </c>
      <c r="E697" s="5">
        <v>48</v>
      </c>
      <c r="F697" s="1" t="s">
        <v>1599</v>
      </c>
      <c r="G697" s="1" t="s">
        <v>1600</v>
      </c>
      <c r="H697" t="s">
        <v>2271</v>
      </c>
      <c r="I697" s="1" t="s">
        <v>35</v>
      </c>
      <c r="J697" s="1" t="s">
        <v>25</v>
      </c>
      <c r="K697" s="1" t="s">
        <v>31</v>
      </c>
      <c r="L697" s="1" t="s">
        <v>32</v>
      </c>
      <c r="M697" s="1" t="s">
        <v>1601</v>
      </c>
      <c r="N697" s="1" t="s">
        <v>22</v>
      </c>
      <c r="O697" s="1" t="s">
        <v>2276</v>
      </c>
    </row>
    <row r="698" spans="1:15" x14ac:dyDescent="0.25">
      <c r="A698">
        <v>1761</v>
      </c>
      <c r="B698" s="1" t="s">
        <v>354</v>
      </c>
      <c r="C698" s="1" t="str">
        <f t="shared" si="10"/>
        <v>Quebec</v>
      </c>
      <c r="D698" s="1" t="s">
        <v>73</v>
      </c>
      <c r="E698" s="5">
        <v>44</v>
      </c>
      <c r="F698" s="1" t="s">
        <v>912</v>
      </c>
      <c r="G698" s="1" t="s">
        <v>1602</v>
      </c>
      <c r="H698" t="s">
        <v>2271</v>
      </c>
      <c r="I698" s="1" t="s">
        <v>24</v>
      </c>
      <c r="J698" s="1" t="s">
        <v>25</v>
      </c>
      <c r="K698" s="1" t="s">
        <v>31</v>
      </c>
      <c r="L698" s="1" t="s">
        <v>20</v>
      </c>
      <c r="M698" s="1" t="s">
        <v>1603</v>
      </c>
      <c r="N698" s="1" t="s">
        <v>22</v>
      </c>
      <c r="O698" s="1" t="s">
        <v>2276</v>
      </c>
    </row>
    <row r="699" spans="1:15" x14ac:dyDescent="0.25">
      <c r="A699">
        <v>1762</v>
      </c>
      <c r="B699" s="1" t="s">
        <v>354</v>
      </c>
      <c r="C699" s="1" t="str">
        <f t="shared" si="10"/>
        <v>Quebec</v>
      </c>
      <c r="D699" s="1" t="s">
        <v>73</v>
      </c>
      <c r="E699" s="5">
        <v>42</v>
      </c>
      <c r="F699" s="1" t="s">
        <v>1604</v>
      </c>
      <c r="G699" s="1" t="s">
        <v>1605</v>
      </c>
      <c r="H699" t="s">
        <v>2271</v>
      </c>
      <c r="I699" s="1" t="s">
        <v>35</v>
      </c>
      <c r="J699" s="1" t="s">
        <v>25</v>
      </c>
      <c r="K699" s="1" t="s">
        <v>31</v>
      </c>
      <c r="L699" s="1" t="s">
        <v>32</v>
      </c>
      <c r="M699" s="1" t="s">
        <v>1606</v>
      </c>
      <c r="N699" s="1" t="s">
        <v>22</v>
      </c>
      <c r="O699" s="1" t="s">
        <v>2276</v>
      </c>
    </row>
    <row r="700" spans="1:15" x14ac:dyDescent="0.25">
      <c r="A700">
        <v>1767</v>
      </c>
      <c r="B700" s="1" t="s">
        <v>354</v>
      </c>
      <c r="C700" s="1" t="str">
        <f t="shared" si="10"/>
        <v>Quebec</v>
      </c>
      <c r="D700" s="1" t="s">
        <v>73</v>
      </c>
      <c r="E700" s="5">
        <v>45</v>
      </c>
      <c r="F700" s="1" t="s">
        <v>47</v>
      </c>
      <c r="G700" s="1" t="s">
        <v>1607</v>
      </c>
      <c r="H700" t="s">
        <v>2270</v>
      </c>
      <c r="I700" s="1" t="s">
        <v>17</v>
      </c>
      <c r="J700" s="1" t="s">
        <v>25</v>
      </c>
      <c r="K700" s="1" t="s">
        <v>31</v>
      </c>
      <c r="L700" s="1" t="s">
        <v>32</v>
      </c>
      <c r="M700" s="1" t="s">
        <v>1608</v>
      </c>
      <c r="N700" s="1" t="s">
        <v>60</v>
      </c>
      <c r="O700" s="1" t="s">
        <v>2276</v>
      </c>
    </row>
    <row r="701" spans="1:15" x14ac:dyDescent="0.25">
      <c r="A701">
        <v>1768</v>
      </c>
      <c r="B701" s="1" t="s">
        <v>354</v>
      </c>
      <c r="C701" s="1" t="str">
        <f t="shared" si="10"/>
        <v>Quebec</v>
      </c>
      <c r="D701" s="1" t="s">
        <v>73</v>
      </c>
      <c r="E701" s="5">
        <v>40</v>
      </c>
      <c r="F701" s="1" t="s">
        <v>32</v>
      </c>
      <c r="G701" s="1" t="s">
        <v>1609</v>
      </c>
      <c r="H701" t="s">
        <v>2270</v>
      </c>
      <c r="I701" s="1" t="s">
        <v>43</v>
      </c>
      <c r="J701" s="1" t="s">
        <v>25</v>
      </c>
      <c r="K701" s="1" t="s">
        <v>19</v>
      </c>
      <c r="L701" s="1" t="s">
        <v>45</v>
      </c>
      <c r="M701" s="1" t="s">
        <v>1610</v>
      </c>
      <c r="N701" s="1" t="s">
        <v>60</v>
      </c>
      <c r="O701" s="1" t="s">
        <v>2276</v>
      </c>
    </row>
    <row r="702" spans="1:15" x14ac:dyDescent="0.25">
      <c r="A702">
        <v>1769</v>
      </c>
      <c r="B702" s="1" t="s">
        <v>354</v>
      </c>
      <c r="C702" s="1" t="str">
        <f t="shared" si="10"/>
        <v>Quebec</v>
      </c>
      <c r="D702" s="1" t="s">
        <v>73</v>
      </c>
      <c r="E702" s="5">
        <v>45</v>
      </c>
      <c r="F702" s="1" t="s">
        <v>514</v>
      </c>
      <c r="G702" s="1" t="s">
        <v>1611</v>
      </c>
      <c r="H702" t="s">
        <v>2270</v>
      </c>
      <c r="I702" s="1" t="s">
        <v>24</v>
      </c>
      <c r="J702" s="1" t="s">
        <v>25</v>
      </c>
      <c r="K702" s="1" t="s">
        <v>19</v>
      </c>
      <c r="L702" s="1" t="s">
        <v>20</v>
      </c>
      <c r="M702" s="1" t="s">
        <v>1612</v>
      </c>
      <c r="N702" s="1" t="s">
        <v>60</v>
      </c>
      <c r="O702" s="1" t="s">
        <v>2276</v>
      </c>
    </row>
    <row r="703" spans="1:15" x14ac:dyDescent="0.25">
      <c r="A703">
        <v>1770</v>
      </c>
      <c r="B703" s="1" t="s">
        <v>354</v>
      </c>
      <c r="C703" s="1" t="str">
        <f t="shared" si="10"/>
        <v>Quebec</v>
      </c>
      <c r="D703" s="1" t="s">
        <v>14</v>
      </c>
      <c r="E703" s="5">
        <v>48</v>
      </c>
      <c r="F703" s="1" t="s">
        <v>1613</v>
      </c>
      <c r="G703" s="1" t="s">
        <v>1614</v>
      </c>
      <c r="H703" t="s">
        <v>2270</v>
      </c>
      <c r="I703" s="1" t="s">
        <v>43</v>
      </c>
      <c r="J703" s="1" t="s">
        <v>44</v>
      </c>
      <c r="K703" s="1" t="s">
        <v>31</v>
      </c>
      <c r="L703" s="1" t="s">
        <v>32</v>
      </c>
      <c r="M703" s="1" t="s">
        <v>1615</v>
      </c>
      <c r="N703" s="1" t="s">
        <v>22</v>
      </c>
      <c r="O703" s="1" t="s">
        <v>2276</v>
      </c>
    </row>
    <row r="704" spans="1:15" x14ac:dyDescent="0.25">
      <c r="A704">
        <v>1771</v>
      </c>
      <c r="B704" s="1" t="s">
        <v>354</v>
      </c>
      <c r="C704" s="1" t="str">
        <f t="shared" si="10"/>
        <v>Quebec</v>
      </c>
      <c r="D704" s="1" t="s">
        <v>28</v>
      </c>
      <c r="E704" s="5">
        <v>72</v>
      </c>
      <c r="F704" s="1" t="s">
        <v>970</v>
      </c>
      <c r="G704" s="1" t="s">
        <v>1616</v>
      </c>
      <c r="H704" t="s">
        <v>2270</v>
      </c>
      <c r="I704" s="1" t="s">
        <v>40</v>
      </c>
      <c r="J704" s="1" t="s">
        <v>25</v>
      </c>
      <c r="K704" s="1" t="s">
        <v>31</v>
      </c>
      <c r="L704" s="1" t="s">
        <v>91</v>
      </c>
      <c r="M704" s="1" t="s">
        <v>1617</v>
      </c>
      <c r="N704" s="1" t="s">
        <v>22</v>
      </c>
      <c r="O704" s="1" t="s">
        <v>2276</v>
      </c>
    </row>
    <row r="705" spans="1:15" x14ac:dyDescent="0.25">
      <c r="A705">
        <v>1772</v>
      </c>
      <c r="B705" s="1" t="s">
        <v>354</v>
      </c>
      <c r="C705" s="1" t="str">
        <f t="shared" si="10"/>
        <v>Quebec</v>
      </c>
      <c r="D705" s="1" t="s">
        <v>28</v>
      </c>
      <c r="E705" s="5">
        <v>47.06</v>
      </c>
      <c r="F705" s="1" t="s">
        <v>970</v>
      </c>
      <c r="G705" s="1" t="s">
        <v>1616</v>
      </c>
      <c r="H705" t="s">
        <v>2270</v>
      </c>
      <c r="I705" s="1" t="s">
        <v>40</v>
      </c>
      <c r="J705" s="1" t="s">
        <v>25</v>
      </c>
      <c r="K705" s="1" t="s">
        <v>31</v>
      </c>
      <c r="L705" s="1" t="s">
        <v>91</v>
      </c>
      <c r="M705" s="1" t="s">
        <v>1618</v>
      </c>
      <c r="N705" s="1" t="s">
        <v>22</v>
      </c>
      <c r="O705" s="1" t="s">
        <v>2276</v>
      </c>
    </row>
    <row r="706" spans="1:15" x14ac:dyDescent="0.25">
      <c r="A706">
        <v>1773</v>
      </c>
      <c r="B706" s="1" t="s">
        <v>354</v>
      </c>
      <c r="C706" s="1" t="str">
        <f t="shared" ref="C706:C769" si="11">IF(B706="NB","New Brunswick",IF(B706="AB","Alberta",IF(B706="BC","British Columbia",IF(B706="MB","Manitoba",IF(B706="NL","Newfoundland and Labrador",IF(B706="NS","Nova Scotia",IF(B706="ON","Ontario",IF(B706="PE","Prince Edward Island",IF(B706="QC","Quebec",IF(B706="SK","Saskatchewan",""))))))))))</f>
        <v>Quebec</v>
      </c>
      <c r="D706" s="1" t="s">
        <v>28</v>
      </c>
      <c r="E706" s="5">
        <v>47.06</v>
      </c>
      <c r="F706" s="1" t="s">
        <v>1360</v>
      </c>
      <c r="G706" s="1" t="s">
        <v>1619</v>
      </c>
      <c r="H706" t="s">
        <v>2270</v>
      </c>
      <c r="I706" s="1" t="s">
        <v>43</v>
      </c>
      <c r="J706" s="1" t="s">
        <v>25</v>
      </c>
      <c r="K706" s="1" t="s">
        <v>31</v>
      </c>
      <c r="L706" s="1" t="s">
        <v>91</v>
      </c>
      <c r="M706" s="1" t="s">
        <v>1620</v>
      </c>
      <c r="N706" s="1" t="s">
        <v>22</v>
      </c>
      <c r="O706" s="1" t="s">
        <v>2276</v>
      </c>
    </row>
    <row r="707" spans="1:15" x14ac:dyDescent="0.25">
      <c r="A707">
        <v>1774</v>
      </c>
      <c r="B707" s="1" t="s">
        <v>354</v>
      </c>
      <c r="C707" s="1" t="str">
        <f t="shared" si="11"/>
        <v>Quebec</v>
      </c>
      <c r="D707" s="1" t="s">
        <v>28</v>
      </c>
      <c r="E707" s="5">
        <v>50</v>
      </c>
      <c r="F707" s="1" t="s">
        <v>1621</v>
      </c>
      <c r="G707" s="1" t="s">
        <v>1622</v>
      </c>
      <c r="H707" t="s">
        <v>2270</v>
      </c>
      <c r="I707" s="1" t="s">
        <v>24</v>
      </c>
      <c r="J707" s="1" t="s">
        <v>25</v>
      </c>
      <c r="K707" s="1" t="s">
        <v>31</v>
      </c>
      <c r="L707" s="1" t="s">
        <v>91</v>
      </c>
      <c r="M707" s="1" t="s">
        <v>1623</v>
      </c>
      <c r="N707" s="1" t="s">
        <v>22</v>
      </c>
      <c r="O707" s="1" t="s">
        <v>2276</v>
      </c>
    </row>
    <row r="708" spans="1:15" x14ac:dyDescent="0.25">
      <c r="A708">
        <v>1775</v>
      </c>
      <c r="B708" s="1" t="s">
        <v>354</v>
      </c>
      <c r="C708" s="1" t="str">
        <f t="shared" si="11"/>
        <v>Quebec</v>
      </c>
      <c r="D708" s="1" t="s">
        <v>28</v>
      </c>
      <c r="E708" s="5">
        <v>55</v>
      </c>
      <c r="F708" s="1" t="s">
        <v>1624</v>
      </c>
      <c r="G708" s="1" t="s">
        <v>1625</v>
      </c>
      <c r="H708" t="s">
        <v>2270</v>
      </c>
      <c r="I708" s="1" t="s">
        <v>43</v>
      </c>
      <c r="J708" s="1" t="s">
        <v>25</v>
      </c>
      <c r="K708" s="1" t="s">
        <v>31</v>
      </c>
      <c r="L708" s="1" t="s">
        <v>91</v>
      </c>
      <c r="M708" s="1" t="s">
        <v>1626</v>
      </c>
      <c r="N708" s="1" t="s">
        <v>22</v>
      </c>
      <c r="O708" s="1" t="s">
        <v>2276</v>
      </c>
    </row>
    <row r="709" spans="1:15" x14ac:dyDescent="0.25">
      <c r="A709">
        <v>1776</v>
      </c>
      <c r="B709" s="1" t="s">
        <v>354</v>
      </c>
      <c r="C709" s="1" t="str">
        <f t="shared" si="11"/>
        <v>Quebec</v>
      </c>
      <c r="D709" s="1" t="s">
        <v>28</v>
      </c>
      <c r="E709" s="5">
        <v>57</v>
      </c>
      <c r="F709" s="1" t="s">
        <v>1360</v>
      </c>
      <c r="G709" s="1" t="s">
        <v>1619</v>
      </c>
      <c r="H709" t="s">
        <v>2270</v>
      </c>
      <c r="I709" s="1" t="s">
        <v>43</v>
      </c>
      <c r="J709" s="1" t="s">
        <v>25</v>
      </c>
      <c r="K709" s="1" t="s">
        <v>31</v>
      </c>
      <c r="L709" s="1" t="s">
        <v>91</v>
      </c>
      <c r="M709" s="1" t="s">
        <v>1627</v>
      </c>
      <c r="N709" s="1" t="s">
        <v>22</v>
      </c>
      <c r="O709" s="1" t="s">
        <v>2276</v>
      </c>
    </row>
    <row r="710" spans="1:15" x14ac:dyDescent="0.25">
      <c r="A710">
        <v>1777</v>
      </c>
      <c r="B710" s="1" t="s">
        <v>354</v>
      </c>
      <c r="C710" s="1" t="str">
        <f t="shared" si="11"/>
        <v>Quebec</v>
      </c>
      <c r="D710" s="1" t="s">
        <v>28</v>
      </c>
      <c r="E710" s="5">
        <v>50</v>
      </c>
      <c r="F710" s="1" t="s">
        <v>506</v>
      </c>
      <c r="G710" s="1" t="s">
        <v>1628</v>
      </c>
      <c r="H710" t="s">
        <v>2270</v>
      </c>
      <c r="I710" s="1" t="s">
        <v>17</v>
      </c>
      <c r="J710" s="1" t="s">
        <v>25</v>
      </c>
      <c r="K710" s="1" t="s">
        <v>31</v>
      </c>
      <c r="L710" s="1" t="s">
        <v>91</v>
      </c>
      <c r="M710" s="1" t="s">
        <v>1629</v>
      </c>
      <c r="N710" s="1" t="s">
        <v>22</v>
      </c>
      <c r="O710" s="1" t="s">
        <v>2276</v>
      </c>
    </row>
    <row r="711" spans="1:15" x14ac:dyDescent="0.25">
      <c r="A711">
        <v>1778</v>
      </c>
      <c r="B711" s="1" t="s">
        <v>354</v>
      </c>
      <c r="C711" s="1" t="str">
        <f t="shared" si="11"/>
        <v>Quebec</v>
      </c>
      <c r="D711" s="1" t="s">
        <v>28</v>
      </c>
      <c r="E711" s="5">
        <v>48</v>
      </c>
      <c r="F711" s="1" t="s">
        <v>1630</v>
      </c>
      <c r="G711" s="1" t="s">
        <v>32</v>
      </c>
      <c r="H711" t="s">
        <v>2270</v>
      </c>
      <c r="I711" s="1" t="s">
        <v>24</v>
      </c>
      <c r="J711" s="1" t="s">
        <v>25</v>
      </c>
      <c r="K711" s="1" t="s">
        <v>31</v>
      </c>
      <c r="L711" s="1" t="s">
        <v>91</v>
      </c>
      <c r="M711" s="1" t="s">
        <v>1631</v>
      </c>
      <c r="N711" s="1" t="s">
        <v>22</v>
      </c>
      <c r="O711" s="1" t="s">
        <v>2276</v>
      </c>
    </row>
    <row r="712" spans="1:15" x14ac:dyDescent="0.25">
      <c r="A712">
        <v>1779</v>
      </c>
      <c r="B712" s="1" t="s">
        <v>354</v>
      </c>
      <c r="C712" s="1" t="str">
        <f t="shared" si="11"/>
        <v>Quebec</v>
      </c>
      <c r="D712" s="1" t="s">
        <v>28</v>
      </c>
      <c r="E712" s="5">
        <v>39</v>
      </c>
      <c r="F712" s="1" t="s">
        <v>1632</v>
      </c>
      <c r="G712" s="1" t="s">
        <v>1633</v>
      </c>
      <c r="H712" t="s">
        <v>2270</v>
      </c>
      <c r="I712" s="1" t="s">
        <v>17</v>
      </c>
      <c r="J712" s="1" t="s">
        <v>25</v>
      </c>
      <c r="K712" s="1" t="s">
        <v>31</v>
      </c>
      <c r="L712" s="1" t="s">
        <v>91</v>
      </c>
      <c r="M712" s="1" t="s">
        <v>1634</v>
      </c>
      <c r="N712" s="1" t="s">
        <v>60</v>
      </c>
      <c r="O712" s="1" t="s">
        <v>2276</v>
      </c>
    </row>
    <row r="713" spans="1:15" x14ac:dyDescent="0.25">
      <c r="A713">
        <v>1780</v>
      </c>
      <c r="B713" s="1" t="s">
        <v>354</v>
      </c>
      <c r="C713" s="1" t="str">
        <f t="shared" si="11"/>
        <v>Quebec</v>
      </c>
      <c r="D713" s="1" t="s">
        <v>28</v>
      </c>
      <c r="E713" s="5">
        <v>39</v>
      </c>
      <c r="F713" s="1" t="s">
        <v>1635</v>
      </c>
      <c r="G713" s="1" t="s">
        <v>1636</v>
      </c>
      <c r="H713" t="s">
        <v>2270</v>
      </c>
      <c r="I713" s="1" t="s">
        <v>17</v>
      </c>
      <c r="J713" s="1" t="s">
        <v>25</v>
      </c>
      <c r="K713" s="1" t="s">
        <v>31</v>
      </c>
      <c r="L713" s="1" t="s">
        <v>91</v>
      </c>
      <c r="M713" s="1" t="s">
        <v>1637</v>
      </c>
      <c r="N713" s="1" t="s">
        <v>60</v>
      </c>
      <c r="O713" s="1" t="s">
        <v>2276</v>
      </c>
    </row>
    <row r="714" spans="1:15" x14ac:dyDescent="0.25">
      <c r="A714">
        <v>1781</v>
      </c>
      <c r="B714" s="1" t="s">
        <v>354</v>
      </c>
      <c r="C714" s="1" t="str">
        <f t="shared" si="11"/>
        <v>Quebec</v>
      </c>
      <c r="D714" s="1" t="s">
        <v>28</v>
      </c>
      <c r="E714" s="5">
        <v>39</v>
      </c>
      <c r="F714" s="1" t="s">
        <v>1638</v>
      </c>
      <c r="G714" s="1" t="s">
        <v>1639</v>
      </c>
      <c r="H714" t="s">
        <v>2270</v>
      </c>
      <c r="I714" s="1" t="s">
        <v>17</v>
      </c>
      <c r="J714" s="1" t="s">
        <v>25</v>
      </c>
      <c r="K714" s="1" t="s">
        <v>31</v>
      </c>
      <c r="L714" s="1" t="s">
        <v>91</v>
      </c>
      <c r="M714" s="1" t="s">
        <v>1640</v>
      </c>
      <c r="N714" s="1" t="s">
        <v>60</v>
      </c>
      <c r="O714" s="1" t="s">
        <v>2276</v>
      </c>
    </row>
    <row r="715" spans="1:15" x14ac:dyDescent="0.25">
      <c r="A715">
        <v>1782</v>
      </c>
      <c r="B715" s="1" t="s">
        <v>354</v>
      </c>
      <c r="C715" s="1" t="str">
        <f t="shared" si="11"/>
        <v>Quebec</v>
      </c>
      <c r="D715" s="1" t="s">
        <v>28</v>
      </c>
      <c r="E715" s="5">
        <v>39</v>
      </c>
      <c r="F715" s="1" t="s">
        <v>401</v>
      </c>
      <c r="G715" s="1" t="s">
        <v>1641</v>
      </c>
      <c r="H715" t="s">
        <v>2270</v>
      </c>
      <c r="I715" s="1" t="s">
        <v>17</v>
      </c>
      <c r="J715" s="1" t="s">
        <v>25</v>
      </c>
      <c r="K715" s="1" t="s">
        <v>19</v>
      </c>
      <c r="L715" s="1" t="s">
        <v>91</v>
      </c>
      <c r="M715" s="1" t="s">
        <v>1642</v>
      </c>
      <c r="N715" s="1" t="s">
        <v>60</v>
      </c>
      <c r="O715" s="1" t="s">
        <v>2276</v>
      </c>
    </row>
    <row r="716" spans="1:15" x14ac:dyDescent="0.25">
      <c r="A716">
        <v>1783</v>
      </c>
      <c r="B716" s="1" t="s">
        <v>354</v>
      </c>
      <c r="C716" s="1" t="str">
        <f t="shared" si="11"/>
        <v>Quebec</v>
      </c>
      <c r="D716" s="1" t="s">
        <v>28</v>
      </c>
      <c r="E716" s="5">
        <v>39</v>
      </c>
      <c r="F716" s="1" t="s">
        <v>1643</v>
      </c>
      <c r="G716" s="1" t="s">
        <v>1644</v>
      </c>
      <c r="H716" t="s">
        <v>2270</v>
      </c>
      <c r="I716" s="1" t="s">
        <v>17</v>
      </c>
      <c r="J716" s="1" t="s">
        <v>25</v>
      </c>
      <c r="K716" s="1" t="s">
        <v>19</v>
      </c>
      <c r="L716" s="1" t="s">
        <v>91</v>
      </c>
      <c r="M716" s="1" t="s">
        <v>1645</v>
      </c>
      <c r="N716" s="1" t="s">
        <v>60</v>
      </c>
      <c r="O716" s="1" t="s">
        <v>2276</v>
      </c>
    </row>
    <row r="717" spans="1:15" x14ac:dyDescent="0.25">
      <c r="A717">
        <v>1784</v>
      </c>
      <c r="B717" s="1" t="s">
        <v>354</v>
      </c>
      <c r="C717" s="1" t="str">
        <f t="shared" si="11"/>
        <v>Quebec</v>
      </c>
      <c r="D717" s="1" t="s">
        <v>28</v>
      </c>
      <c r="E717" s="5">
        <v>39</v>
      </c>
      <c r="F717" s="1" t="s">
        <v>1643</v>
      </c>
      <c r="G717" s="1" t="s">
        <v>1646</v>
      </c>
      <c r="H717" t="s">
        <v>2270</v>
      </c>
      <c r="I717" s="1" t="s">
        <v>17</v>
      </c>
      <c r="J717" s="1" t="s">
        <v>25</v>
      </c>
      <c r="K717" s="1" t="s">
        <v>19</v>
      </c>
      <c r="L717" s="1" t="s">
        <v>91</v>
      </c>
      <c r="M717" s="1" t="s">
        <v>1647</v>
      </c>
      <c r="N717" s="1" t="s">
        <v>60</v>
      </c>
      <c r="O717" s="1" t="s">
        <v>2276</v>
      </c>
    </row>
    <row r="718" spans="1:15" x14ac:dyDescent="0.25">
      <c r="A718">
        <v>1785</v>
      </c>
      <c r="B718" s="1" t="s">
        <v>354</v>
      </c>
      <c r="C718" s="1" t="str">
        <f t="shared" si="11"/>
        <v>Quebec</v>
      </c>
      <c r="D718" s="1" t="s">
        <v>28</v>
      </c>
      <c r="E718" s="5">
        <v>35</v>
      </c>
      <c r="F718" s="1" t="s">
        <v>1648</v>
      </c>
      <c r="G718" s="1" t="s">
        <v>1649</v>
      </c>
      <c r="H718" t="s">
        <v>2270</v>
      </c>
      <c r="I718" s="1" t="s">
        <v>17</v>
      </c>
      <c r="J718" s="1" t="s">
        <v>25</v>
      </c>
      <c r="K718" s="1" t="s">
        <v>31</v>
      </c>
      <c r="L718" s="1" t="s">
        <v>91</v>
      </c>
      <c r="M718" s="1" t="s">
        <v>1650</v>
      </c>
      <c r="N718" s="1" t="s">
        <v>60</v>
      </c>
      <c r="O718" s="1" t="s">
        <v>2276</v>
      </c>
    </row>
    <row r="719" spans="1:15" x14ac:dyDescent="0.25">
      <c r="A719">
        <v>1786</v>
      </c>
      <c r="B719" s="1" t="s">
        <v>354</v>
      </c>
      <c r="C719" s="1" t="str">
        <f t="shared" si="11"/>
        <v>Quebec</v>
      </c>
      <c r="D719" s="1" t="s">
        <v>28</v>
      </c>
      <c r="E719" s="5">
        <v>42</v>
      </c>
      <c r="F719" s="1" t="s">
        <v>1651</v>
      </c>
      <c r="G719" s="1" t="s">
        <v>1652</v>
      </c>
      <c r="H719" t="s">
        <v>2270</v>
      </c>
      <c r="I719" s="1" t="s">
        <v>24</v>
      </c>
      <c r="J719" s="1" t="s">
        <v>25</v>
      </c>
      <c r="K719" s="1" t="s">
        <v>31</v>
      </c>
      <c r="L719" s="1" t="s">
        <v>91</v>
      </c>
      <c r="M719" s="1" t="s">
        <v>1653</v>
      </c>
      <c r="N719" s="1" t="s">
        <v>22</v>
      </c>
      <c r="O719" s="1" t="s">
        <v>2276</v>
      </c>
    </row>
    <row r="720" spans="1:15" x14ac:dyDescent="0.25">
      <c r="A720">
        <v>1787</v>
      </c>
      <c r="B720" s="1" t="s">
        <v>354</v>
      </c>
      <c r="C720" s="1" t="str">
        <f t="shared" si="11"/>
        <v>Quebec</v>
      </c>
      <c r="D720" s="1" t="s">
        <v>28</v>
      </c>
      <c r="E720" s="5">
        <v>44</v>
      </c>
      <c r="F720" s="1" t="s">
        <v>1654</v>
      </c>
      <c r="G720" s="1" t="s">
        <v>1655</v>
      </c>
      <c r="H720" t="s">
        <v>2270</v>
      </c>
      <c r="I720" s="1" t="s">
        <v>24</v>
      </c>
      <c r="J720" s="1" t="s">
        <v>25</v>
      </c>
      <c r="K720" s="1" t="s">
        <v>31</v>
      </c>
      <c r="L720" s="1" t="s">
        <v>91</v>
      </c>
      <c r="M720" s="1" t="s">
        <v>1656</v>
      </c>
      <c r="N720" s="1" t="s">
        <v>22</v>
      </c>
      <c r="O720" s="1" t="s">
        <v>2276</v>
      </c>
    </row>
    <row r="721" spans="1:15" x14ac:dyDescent="0.25">
      <c r="A721">
        <v>1788</v>
      </c>
      <c r="B721" s="1" t="s">
        <v>354</v>
      </c>
      <c r="C721" s="1" t="str">
        <f t="shared" si="11"/>
        <v>Quebec</v>
      </c>
      <c r="D721" s="1" t="s">
        <v>28</v>
      </c>
      <c r="E721" s="5">
        <v>40</v>
      </c>
      <c r="F721" s="1" t="s">
        <v>1657</v>
      </c>
      <c r="G721" s="1" t="s">
        <v>1658</v>
      </c>
      <c r="H721" t="s">
        <v>2270</v>
      </c>
      <c r="I721" s="1" t="s">
        <v>17</v>
      </c>
      <c r="J721" s="1" t="s">
        <v>25</v>
      </c>
      <c r="K721" s="1" t="s">
        <v>31</v>
      </c>
      <c r="L721" s="1" t="s">
        <v>91</v>
      </c>
      <c r="M721" s="1" t="s">
        <v>1659</v>
      </c>
      <c r="N721" s="1" t="s">
        <v>22</v>
      </c>
      <c r="O721" s="1" t="s">
        <v>2276</v>
      </c>
    </row>
    <row r="722" spans="1:15" x14ac:dyDescent="0.25">
      <c r="A722">
        <v>1793</v>
      </c>
      <c r="B722" s="1" t="s">
        <v>354</v>
      </c>
      <c r="C722" s="1" t="str">
        <f t="shared" si="11"/>
        <v>Quebec</v>
      </c>
      <c r="D722" s="1" t="s">
        <v>14</v>
      </c>
      <c r="E722" s="5">
        <v>70</v>
      </c>
      <c r="F722" s="1" t="s">
        <v>1660</v>
      </c>
      <c r="G722" s="1" t="s">
        <v>1661</v>
      </c>
      <c r="H722" t="s">
        <v>2270</v>
      </c>
      <c r="I722" s="1" t="s">
        <v>40</v>
      </c>
      <c r="J722" s="1" t="s">
        <v>44</v>
      </c>
      <c r="K722" s="1" t="s">
        <v>31</v>
      </c>
      <c r="L722" s="1" t="s">
        <v>91</v>
      </c>
      <c r="M722" s="1" t="s">
        <v>1662</v>
      </c>
      <c r="N722" s="1" t="s">
        <v>22</v>
      </c>
      <c r="O722" s="1" t="s">
        <v>2276</v>
      </c>
    </row>
    <row r="723" spans="1:15" x14ac:dyDescent="0.25">
      <c r="A723">
        <v>1794</v>
      </c>
      <c r="B723" s="1" t="s">
        <v>354</v>
      </c>
      <c r="C723" s="1" t="str">
        <f t="shared" si="11"/>
        <v>Quebec</v>
      </c>
      <c r="D723" s="1" t="s">
        <v>14</v>
      </c>
      <c r="E723" s="5">
        <v>45</v>
      </c>
      <c r="F723" s="1" t="s">
        <v>1663</v>
      </c>
      <c r="G723" s="1" t="s">
        <v>1664</v>
      </c>
      <c r="H723" t="s">
        <v>2270</v>
      </c>
      <c r="I723" s="1" t="s">
        <v>24</v>
      </c>
      <c r="J723" s="1" t="s">
        <v>25</v>
      </c>
      <c r="K723" s="1" t="s">
        <v>19</v>
      </c>
      <c r="L723" s="1" t="s">
        <v>20</v>
      </c>
      <c r="M723" s="1" t="s">
        <v>1665</v>
      </c>
      <c r="N723" s="1" t="s">
        <v>60</v>
      </c>
      <c r="O723" s="1" t="s">
        <v>2276</v>
      </c>
    </row>
    <row r="724" spans="1:15" x14ac:dyDescent="0.25">
      <c r="A724">
        <v>1795</v>
      </c>
      <c r="B724" s="1" t="s">
        <v>354</v>
      </c>
      <c r="C724" s="1" t="str">
        <f t="shared" si="11"/>
        <v>Quebec</v>
      </c>
      <c r="D724" s="1" t="s">
        <v>14</v>
      </c>
      <c r="E724" s="5">
        <v>45</v>
      </c>
      <c r="F724" s="1" t="s">
        <v>1666</v>
      </c>
      <c r="G724" s="1" t="s">
        <v>1667</v>
      </c>
      <c r="H724" t="s">
        <v>2270</v>
      </c>
      <c r="I724" s="1" t="s">
        <v>24</v>
      </c>
      <c r="J724" s="1" t="s">
        <v>25</v>
      </c>
      <c r="K724" s="1" t="s">
        <v>19</v>
      </c>
      <c r="L724" s="1" t="s">
        <v>20</v>
      </c>
      <c r="M724" s="1" t="s">
        <v>1668</v>
      </c>
      <c r="N724" s="1" t="s">
        <v>60</v>
      </c>
      <c r="O724" s="1" t="s">
        <v>2276</v>
      </c>
    </row>
    <row r="725" spans="1:15" x14ac:dyDescent="0.25">
      <c r="A725">
        <v>1796</v>
      </c>
      <c r="B725" s="1" t="s">
        <v>354</v>
      </c>
      <c r="C725" s="1" t="str">
        <f t="shared" si="11"/>
        <v>Quebec</v>
      </c>
      <c r="D725" s="1" t="s">
        <v>14</v>
      </c>
      <c r="E725" s="5">
        <v>45</v>
      </c>
      <c r="F725" s="1" t="s">
        <v>1669</v>
      </c>
      <c r="G725" s="1" t="s">
        <v>32</v>
      </c>
      <c r="H725" t="s">
        <v>2270</v>
      </c>
      <c r="I725" s="1" t="s">
        <v>24</v>
      </c>
      <c r="J725" s="1" t="s">
        <v>25</v>
      </c>
      <c r="K725" s="1" t="s">
        <v>31</v>
      </c>
      <c r="L725" s="1" t="s">
        <v>20</v>
      </c>
      <c r="M725" s="1" t="s">
        <v>1670</v>
      </c>
      <c r="N725" s="1" t="s">
        <v>60</v>
      </c>
      <c r="O725" s="1" t="s">
        <v>2276</v>
      </c>
    </row>
    <row r="726" spans="1:15" x14ac:dyDescent="0.25">
      <c r="A726">
        <v>1797</v>
      </c>
      <c r="B726" s="1" t="s">
        <v>354</v>
      </c>
      <c r="C726" s="1" t="str">
        <f t="shared" si="11"/>
        <v>Quebec</v>
      </c>
      <c r="D726" s="1" t="s">
        <v>14</v>
      </c>
      <c r="E726" s="5">
        <v>52</v>
      </c>
      <c r="F726" s="1" t="s">
        <v>1671</v>
      </c>
      <c r="G726" s="1" t="s">
        <v>1672</v>
      </c>
      <c r="H726" t="s">
        <v>2270</v>
      </c>
      <c r="I726" s="1" t="s">
        <v>43</v>
      </c>
      <c r="J726" s="1" t="s">
        <v>25</v>
      </c>
      <c r="K726" s="1" t="s">
        <v>31</v>
      </c>
      <c r="L726" s="1" t="s">
        <v>45</v>
      </c>
      <c r="M726" s="1" t="s">
        <v>1673</v>
      </c>
      <c r="N726" s="1" t="s">
        <v>22</v>
      </c>
      <c r="O726" s="1" t="s">
        <v>2276</v>
      </c>
    </row>
    <row r="727" spans="1:15" x14ac:dyDescent="0.25">
      <c r="A727">
        <v>1798</v>
      </c>
      <c r="B727" s="1" t="s">
        <v>354</v>
      </c>
      <c r="C727" s="1" t="str">
        <f t="shared" si="11"/>
        <v>Quebec</v>
      </c>
      <c r="D727" s="1" t="s">
        <v>14</v>
      </c>
      <c r="E727" s="5">
        <v>38</v>
      </c>
      <c r="F727" s="1" t="s">
        <v>32</v>
      </c>
      <c r="G727" s="1" t="s">
        <v>1674</v>
      </c>
      <c r="H727" t="s">
        <v>2270</v>
      </c>
      <c r="I727" s="1" t="s">
        <v>17</v>
      </c>
      <c r="J727" s="1" t="s">
        <v>25</v>
      </c>
      <c r="K727" s="1" t="s">
        <v>31</v>
      </c>
      <c r="L727" s="1" t="s">
        <v>91</v>
      </c>
      <c r="M727" s="1" t="s">
        <v>1675</v>
      </c>
      <c r="N727" s="1" t="s">
        <v>60</v>
      </c>
      <c r="O727" s="1" t="s">
        <v>2276</v>
      </c>
    </row>
    <row r="728" spans="1:15" x14ac:dyDescent="0.25">
      <c r="A728">
        <v>1799</v>
      </c>
      <c r="B728" s="1" t="s">
        <v>354</v>
      </c>
      <c r="C728" s="1" t="str">
        <f t="shared" si="11"/>
        <v>Quebec</v>
      </c>
      <c r="D728" s="1" t="s">
        <v>14</v>
      </c>
      <c r="E728" s="5">
        <v>45</v>
      </c>
      <c r="F728" s="1" t="s">
        <v>1676</v>
      </c>
      <c r="G728" s="1" t="s">
        <v>1677</v>
      </c>
      <c r="H728" t="s">
        <v>2271</v>
      </c>
      <c r="I728" s="1" t="s">
        <v>24</v>
      </c>
      <c r="J728" s="1" t="s">
        <v>25</v>
      </c>
      <c r="K728" s="1" t="s">
        <v>19</v>
      </c>
      <c r="L728" s="1" t="s">
        <v>20</v>
      </c>
      <c r="M728" s="1" t="s">
        <v>1678</v>
      </c>
      <c r="N728" s="1" t="s">
        <v>22</v>
      </c>
      <c r="O728" s="1" t="s">
        <v>2276</v>
      </c>
    </row>
    <row r="729" spans="1:15" x14ac:dyDescent="0.25">
      <c r="A729">
        <v>1800</v>
      </c>
      <c r="B729" s="1" t="s">
        <v>354</v>
      </c>
      <c r="C729" s="1" t="str">
        <f t="shared" si="11"/>
        <v>Quebec</v>
      </c>
      <c r="D729" s="1" t="s">
        <v>14</v>
      </c>
      <c r="E729" s="5">
        <v>39</v>
      </c>
      <c r="F729" s="1" t="s">
        <v>1679</v>
      </c>
      <c r="G729" s="1" t="s">
        <v>1680</v>
      </c>
      <c r="H729" t="s">
        <v>2271</v>
      </c>
      <c r="I729" s="1" t="s">
        <v>17</v>
      </c>
      <c r="J729" s="1" t="s">
        <v>25</v>
      </c>
      <c r="K729" s="1" t="s">
        <v>19</v>
      </c>
      <c r="L729" s="1" t="s">
        <v>20</v>
      </c>
      <c r="M729" s="1" t="s">
        <v>1681</v>
      </c>
      <c r="N729" s="1" t="s">
        <v>60</v>
      </c>
      <c r="O729" s="1" t="s">
        <v>2276</v>
      </c>
    </row>
    <row r="730" spans="1:15" x14ac:dyDescent="0.25">
      <c r="A730">
        <v>1801</v>
      </c>
      <c r="B730" s="1" t="s">
        <v>354</v>
      </c>
      <c r="C730" s="1" t="str">
        <f t="shared" si="11"/>
        <v>Quebec</v>
      </c>
      <c r="D730" s="1" t="s">
        <v>73</v>
      </c>
      <c r="E730" s="5">
        <v>39</v>
      </c>
      <c r="F730" s="1" t="s">
        <v>1682</v>
      </c>
      <c r="G730" s="1" t="s">
        <v>1683</v>
      </c>
      <c r="H730" t="s">
        <v>2271</v>
      </c>
      <c r="I730" s="1" t="s">
        <v>17</v>
      </c>
      <c r="J730" s="1" t="s">
        <v>25</v>
      </c>
      <c r="K730" s="1" t="s">
        <v>19</v>
      </c>
      <c r="L730" s="1" t="s">
        <v>91</v>
      </c>
      <c r="M730" s="1" t="s">
        <v>1684</v>
      </c>
      <c r="N730" s="1" t="s">
        <v>60</v>
      </c>
      <c r="O730" s="1" t="s">
        <v>2276</v>
      </c>
    </row>
    <row r="731" spans="1:15" x14ac:dyDescent="0.25">
      <c r="A731">
        <v>1802</v>
      </c>
      <c r="B731" s="1" t="s">
        <v>354</v>
      </c>
      <c r="C731" s="1" t="str">
        <f t="shared" si="11"/>
        <v>Quebec</v>
      </c>
      <c r="D731" s="1" t="s">
        <v>73</v>
      </c>
      <c r="E731" s="5">
        <v>39</v>
      </c>
      <c r="F731" s="1" t="s">
        <v>1685</v>
      </c>
      <c r="G731" s="1" t="s">
        <v>32</v>
      </c>
      <c r="H731" t="s">
        <v>2271</v>
      </c>
      <c r="I731" s="1" t="s">
        <v>17</v>
      </c>
      <c r="J731" s="1" t="s">
        <v>25</v>
      </c>
      <c r="K731" s="1" t="s">
        <v>19</v>
      </c>
      <c r="L731" s="1" t="s">
        <v>91</v>
      </c>
      <c r="M731" s="1" t="s">
        <v>1686</v>
      </c>
      <c r="N731" s="1" t="s">
        <v>60</v>
      </c>
      <c r="O731" s="1" t="s">
        <v>2276</v>
      </c>
    </row>
    <row r="732" spans="1:15" x14ac:dyDescent="0.25">
      <c r="A732">
        <v>1803</v>
      </c>
      <c r="B732" s="1" t="s">
        <v>354</v>
      </c>
      <c r="C732" s="1" t="str">
        <f t="shared" si="11"/>
        <v>Quebec</v>
      </c>
      <c r="D732" s="1" t="s">
        <v>73</v>
      </c>
      <c r="E732" s="5">
        <v>39</v>
      </c>
      <c r="F732" s="1" t="s">
        <v>1685</v>
      </c>
      <c r="G732" s="1" t="s">
        <v>1230</v>
      </c>
      <c r="H732" t="s">
        <v>2271</v>
      </c>
      <c r="I732" s="1" t="s">
        <v>17</v>
      </c>
      <c r="J732" s="1" t="s">
        <v>25</v>
      </c>
      <c r="K732" s="1" t="s">
        <v>19</v>
      </c>
      <c r="L732" s="1" t="s">
        <v>91</v>
      </c>
      <c r="M732" s="1" t="s">
        <v>1687</v>
      </c>
      <c r="N732" s="1" t="s">
        <v>60</v>
      </c>
      <c r="O732" s="1" t="s">
        <v>2276</v>
      </c>
    </row>
    <row r="733" spans="1:15" x14ac:dyDescent="0.25">
      <c r="A733">
        <v>1804</v>
      </c>
      <c r="B733" s="1" t="s">
        <v>354</v>
      </c>
      <c r="C733" s="1" t="str">
        <f t="shared" si="11"/>
        <v>Quebec</v>
      </c>
      <c r="D733" s="1" t="s">
        <v>73</v>
      </c>
      <c r="E733" s="5">
        <v>39</v>
      </c>
      <c r="F733" s="1" t="s">
        <v>1685</v>
      </c>
      <c r="G733" s="1" t="s">
        <v>32</v>
      </c>
      <c r="H733" t="s">
        <v>2271</v>
      </c>
      <c r="I733" s="1" t="s">
        <v>17</v>
      </c>
      <c r="J733" s="1" t="s">
        <v>25</v>
      </c>
      <c r="K733" s="1" t="s">
        <v>19</v>
      </c>
      <c r="L733" s="1" t="s">
        <v>91</v>
      </c>
      <c r="M733" s="1" t="s">
        <v>1688</v>
      </c>
      <c r="N733" s="1" t="s">
        <v>60</v>
      </c>
      <c r="O733" s="1" t="s">
        <v>2276</v>
      </c>
    </row>
    <row r="734" spans="1:15" x14ac:dyDescent="0.25">
      <c r="A734">
        <v>1805</v>
      </c>
      <c r="B734" s="1" t="s">
        <v>354</v>
      </c>
      <c r="C734" s="1" t="str">
        <f t="shared" si="11"/>
        <v>Quebec</v>
      </c>
      <c r="D734" s="1" t="s">
        <v>73</v>
      </c>
      <c r="E734" s="5">
        <v>52</v>
      </c>
      <c r="F734" s="1" t="s">
        <v>1689</v>
      </c>
      <c r="G734" s="1" t="s">
        <v>1690</v>
      </c>
      <c r="H734" t="s">
        <v>2271</v>
      </c>
      <c r="I734" s="1" t="s">
        <v>24</v>
      </c>
      <c r="J734" s="1" t="s">
        <v>25</v>
      </c>
      <c r="K734" s="1" t="s">
        <v>31</v>
      </c>
      <c r="L734" s="1" t="s">
        <v>91</v>
      </c>
      <c r="M734" s="1" t="s">
        <v>1691</v>
      </c>
      <c r="N734" s="1" t="s">
        <v>22</v>
      </c>
      <c r="O734" s="1" t="s">
        <v>2276</v>
      </c>
    </row>
    <row r="735" spans="1:15" x14ac:dyDescent="0.25">
      <c r="A735">
        <v>1806</v>
      </c>
      <c r="B735" s="1" t="s">
        <v>354</v>
      </c>
      <c r="C735" s="1" t="str">
        <f t="shared" si="11"/>
        <v>Quebec</v>
      </c>
      <c r="D735" s="1" t="s">
        <v>73</v>
      </c>
      <c r="E735" s="5">
        <v>32</v>
      </c>
      <c r="F735" s="1" t="s">
        <v>1692</v>
      </c>
      <c r="G735" s="1" t="s">
        <v>1295</v>
      </c>
      <c r="H735" t="s">
        <v>2271</v>
      </c>
      <c r="I735" s="1" t="s">
        <v>64</v>
      </c>
      <c r="J735" s="1" t="s">
        <v>25</v>
      </c>
      <c r="K735" s="1" t="s">
        <v>31</v>
      </c>
      <c r="L735" s="1" t="s">
        <v>32</v>
      </c>
      <c r="M735" s="1" t="s">
        <v>1693</v>
      </c>
      <c r="N735" s="1" t="s">
        <v>60</v>
      </c>
      <c r="O735" s="1" t="s">
        <v>2276</v>
      </c>
    </row>
    <row r="736" spans="1:15" x14ac:dyDescent="0.25">
      <c r="A736">
        <v>1807</v>
      </c>
      <c r="B736" s="1" t="s">
        <v>354</v>
      </c>
      <c r="C736" s="1" t="str">
        <f t="shared" si="11"/>
        <v>Quebec</v>
      </c>
      <c r="D736" s="1" t="s">
        <v>73</v>
      </c>
      <c r="E736" s="5">
        <v>40</v>
      </c>
      <c r="F736" s="1" t="s">
        <v>32</v>
      </c>
      <c r="G736" s="1" t="s">
        <v>32</v>
      </c>
      <c r="H736" t="s">
        <v>2271</v>
      </c>
      <c r="I736" s="1" t="s">
        <v>17</v>
      </c>
      <c r="J736" s="1" t="s">
        <v>25</v>
      </c>
      <c r="K736" s="1" t="s">
        <v>19</v>
      </c>
      <c r="L736" s="1" t="s">
        <v>32</v>
      </c>
      <c r="M736" s="1" t="s">
        <v>1694</v>
      </c>
      <c r="N736" s="1" t="s">
        <v>22</v>
      </c>
      <c r="O736" s="1" t="s">
        <v>2276</v>
      </c>
    </row>
    <row r="737" spans="1:15" x14ac:dyDescent="0.25">
      <c r="A737">
        <v>1808</v>
      </c>
      <c r="B737" s="1" t="s">
        <v>354</v>
      </c>
      <c r="C737" s="1" t="str">
        <f t="shared" si="11"/>
        <v>Quebec</v>
      </c>
      <c r="D737" s="1" t="s">
        <v>73</v>
      </c>
      <c r="E737" s="5">
        <v>52</v>
      </c>
      <c r="F737" s="1" t="s">
        <v>1689</v>
      </c>
      <c r="G737" s="1" t="s">
        <v>1690</v>
      </c>
      <c r="H737" t="s">
        <v>2271</v>
      </c>
      <c r="I737" s="1" t="s">
        <v>24</v>
      </c>
      <c r="J737" s="1" t="s">
        <v>25</v>
      </c>
      <c r="K737" s="1" t="s">
        <v>31</v>
      </c>
      <c r="L737" s="1" t="s">
        <v>91</v>
      </c>
      <c r="M737" s="1" t="s">
        <v>1695</v>
      </c>
      <c r="N737" s="1" t="s">
        <v>22</v>
      </c>
      <c r="O737" s="1" t="s">
        <v>2276</v>
      </c>
    </row>
    <row r="738" spans="1:15" x14ac:dyDescent="0.25">
      <c r="A738">
        <v>1809</v>
      </c>
      <c r="B738" s="1" t="s">
        <v>354</v>
      </c>
      <c r="C738" s="1" t="str">
        <f t="shared" si="11"/>
        <v>Quebec</v>
      </c>
      <c r="D738" s="1" t="s">
        <v>73</v>
      </c>
      <c r="E738" s="5">
        <v>55</v>
      </c>
      <c r="F738" s="1" t="s">
        <v>1085</v>
      </c>
      <c r="G738" s="1" t="s">
        <v>32</v>
      </c>
      <c r="H738" t="s">
        <v>2271</v>
      </c>
      <c r="I738" s="1" t="s">
        <v>17</v>
      </c>
      <c r="J738" s="1" t="s">
        <v>25</v>
      </c>
      <c r="K738" s="1" t="s">
        <v>31</v>
      </c>
      <c r="L738" s="1" t="s">
        <v>32</v>
      </c>
      <c r="M738" s="1" t="s">
        <v>1696</v>
      </c>
      <c r="N738" s="1" t="s">
        <v>22</v>
      </c>
      <c r="O738" s="1" t="s">
        <v>2276</v>
      </c>
    </row>
    <row r="739" spans="1:15" x14ac:dyDescent="0.25">
      <c r="A739">
        <v>1810</v>
      </c>
      <c r="B739" s="1" t="s">
        <v>354</v>
      </c>
      <c r="C739" s="1" t="str">
        <f t="shared" si="11"/>
        <v>Quebec</v>
      </c>
      <c r="D739" s="1" t="s">
        <v>73</v>
      </c>
      <c r="E739" s="5">
        <v>65</v>
      </c>
      <c r="F739" s="1" t="s">
        <v>1697</v>
      </c>
      <c r="G739" s="1" t="s">
        <v>1698</v>
      </c>
      <c r="H739" t="s">
        <v>2270</v>
      </c>
      <c r="I739" s="1" t="s">
        <v>40</v>
      </c>
      <c r="J739" s="1" t="s">
        <v>25</v>
      </c>
      <c r="K739" s="1" t="s">
        <v>31</v>
      </c>
      <c r="L739" s="1" t="s">
        <v>91</v>
      </c>
      <c r="M739" s="1" t="s">
        <v>1699</v>
      </c>
      <c r="N739" s="1" t="s">
        <v>22</v>
      </c>
      <c r="O739" s="1" t="s">
        <v>2276</v>
      </c>
    </row>
    <row r="740" spans="1:15" x14ac:dyDescent="0.25">
      <c r="A740">
        <v>1811</v>
      </c>
      <c r="B740" s="1" t="s">
        <v>354</v>
      </c>
      <c r="C740" s="1" t="str">
        <f t="shared" si="11"/>
        <v>Quebec</v>
      </c>
      <c r="D740" s="1" t="s">
        <v>28</v>
      </c>
      <c r="E740" s="5">
        <v>33</v>
      </c>
      <c r="F740" s="1" t="s">
        <v>1700</v>
      </c>
      <c r="G740" s="1" t="s">
        <v>32</v>
      </c>
      <c r="H740" t="s">
        <v>2271</v>
      </c>
      <c r="I740" s="1" t="s">
        <v>17</v>
      </c>
      <c r="J740" s="1" t="s">
        <v>25</v>
      </c>
      <c r="K740" s="1" t="s">
        <v>107</v>
      </c>
      <c r="L740" s="1" t="s">
        <v>91</v>
      </c>
      <c r="M740" s="1" t="s">
        <v>1701</v>
      </c>
      <c r="N740" s="1" t="s">
        <v>60</v>
      </c>
      <c r="O740" s="1" t="s">
        <v>2276</v>
      </c>
    </row>
    <row r="741" spans="1:15" x14ac:dyDescent="0.25">
      <c r="A741">
        <v>1814</v>
      </c>
      <c r="B741" s="1" t="s">
        <v>354</v>
      </c>
      <c r="C741" s="1" t="str">
        <f t="shared" si="11"/>
        <v>Quebec</v>
      </c>
      <c r="D741" s="1" t="s">
        <v>28</v>
      </c>
      <c r="E741" s="5">
        <v>52</v>
      </c>
      <c r="F741" s="1" t="s">
        <v>1702</v>
      </c>
      <c r="G741" s="1" t="s">
        <v>32</v>
      </c>
      <c r="H741" t="s">
        <v>2271</v>
      </c>
      <c r="I741" s="1" t="s">
        <v>17</v>
      </c>
      <c r="J741" s="1" t="s">
        <v>25</v>
      </c>
      <c r="K741" s="1" t="s">
        <v>31</v>
      </c>
      <c r="L741" s="1" t="s">
        <v>91</v>
      </c>
      <c r="M741" s="1" t="s">
        <v>1703</v>
      </c>
      <c r="N741" s="1" t="s">
        <v>22</v>
      </c>
      <c r="O741" s="1" t="s">
        <v>2276</v>
      </c>
    </row>
    <row r="742" spans="1:15" x14ac:dyDescent="0.25">
      <c r="A742">
        <v>1815</v>
      </c>
      <c r="B742" s="1" t="s">
        <v>354</v>
      </c>
      <c r="C742" s="1" t="str">
        <f t="shared" si="11"/>
        <v>Quebec</v>
      </c>
      <c r="D742" s="1" t="s">
        <v>28</v>
      </c>
      <c r="E742" s="5">
        <v>55</v>
      </c>
      <c r="F742" s="1" t="s">
        <v>1704</v>
      </c>
      <c r="G742" s="1" t="s">
        <v>32</v>
      </c>
      <c r="H742" t="s">
        <v>2271</v>
      </c>
      <c r="I742" s="1" t="s">
        <v>17</v>
      </c>
      <c r="J742" s="1" t="s">
        <v>25</v>
      </c>
      <c r="K742" s="1" t="s">
        <v>31</v>
      </c>
      <c r="L742" s="1" t="s">
        <v>91</v>
      </c>
      <c r="M742" s="1" t="s">
        <v>1705</v>
      </c>
      <c r="N742" s="1" t="s">
        <v>22</v>
      </c>
      <c r="O742" s="1" t="s">
        <v>2276</v>
      </c>
    </row>
    <row r="743" spans="1:15" x14ac:dyDescent="0.25">
      <c r="A743">
        <v>1816</v>
      </c>
      <c r="B743" s="1" t="s">
        <v>354</v>
      </c>
      <c r="C743" s="1" t="str">
        <f t="shared" si="11"/>
        <v>Quebec</v>
      </c>
      <c r="D743" s="1" t="s">
        <v>28</v>
      </c>
      <c r="E743" s="5">
        <v>33</v>
      </c>
      <c r="F743" s="1" t="s">
        <v>1706</v>
      </c>
      <c r="G743" s="1" t="s">
        <v>32</v>
      </c>
      <c r="H743" t="s">
        <v>2271</v>
      </c>
      <c r="I743" s="1" t="s">
        <v>64</v>
      </c>
      <c r="J743" s="1" t="s">
        <v>25</v>
      </c>
      <c r="K743" s="1" t="s">
        <v>107</v>
      </c>
      <c r="L743" s="1" t="s">
        <v>91</v>
      </c>
      <c r="M743" s="1" t="s">
        <v>1707</v>
      </c>
      <c r="N743" s="1" t="s">
        <v>60</v>
      </c>
      <c r="O743" s="1" t="s">
        <v>2276</v>
      </c>
    </row>
    <row r="744" spans="1:15" x14ac:dyDescent="0.25">
      <c r="A744">
        <v>1817</v>
      </c>
      <c r="B744" s="1" t="s">
        <v>354</v>
      </c>
      <c r="C744" s="1" t="str">
        <f t="shared" si="11"/>
        <v>Quebec</v>
      </c>
      <c r="D744" s="1" t="s">
        <v>28</v>
      </c>
      <c r="E744" s="5">
        <v>40</v>
      </c>
      <c r="F744" s="1" t="s">
        <v>1708</v>
      </c>
      <c r="G744" s="1" t="s">
        <v>32</v>
      </c>
      <c r="H744" t="s">
        <v>2271</v>
      </c>
      <c r="I744" s="1" t="s">
        <v>17</v>
      </c>
      <c r="J744" s="1" t="s">
        <v>25</v>
      </c>
      <c r="K744" s="1" t="s">
        <v>107</v>
      </c>
      <c r="L744" s="1" t="s">
        <v>91</v>
      </c>
      <c r="M744" s="1" t="s">
        <v>1709</v>
      </c>
      <c r="N744" s="1" t="s">
        <v>22</v>
      </c>
      <c r="O744" s="1" t="s">
        <v>2276</v>
      </c>
    </row>
    <row r="745" spans="1:15" x14ac:dyDescent="0.25">
      <c r="A745">
        <v>1827</v>
      </c>
      <c r="B745" s="1" t="s">
        <v>354</v>
      </c>
      <c r="C745" s="1" t="str">
        <f t="shared" si="11"/>
        <v>Quebec</v>
      </c>
      <c r="D745" s="1" t="s">
        <v>28</v>
      </c>
      <c r="E745" s="5">
        <v>48</v>
      </c>
      <c r="F745" s="1" t="s">
        <v>1710</v>
      </c>
      <c r="G745" s="1" t="s">
        <v>1711</v>
      </c>
      <c r="H745" t="s">
        <v>2270</v>
      </c>
      <c r="I745" s="1" t="s">
        <v>43</v>
      </c>
      <c r="J745" s="1" t="s">
        <v>25</v>
      </c>
      <c r="K745" s="1" t="s">
        <v>31</v>
      </c>
      <c r="L745" s="1" t="s">
        <v>45</v>
      </c>
      <c r="M745" s="1" t="s">
        <v>1712</v>
      </c>
      <c r="N745" s="1" t="s">
        <v>60</v>
      </c>
      <c r="O745" s="1" t="s">
        <v>2276</v>
      </c>
    </row>
    <row r="746" spans="1:15" x14ac:dyDescent="0.25">
      <c r="A746">
        <v>1828</v>
      </c>
      <c r="B746" s="1" t="s">
        <v>27</v>
      </c>
      <c r="C746" s="1" t="str">
        <f t="shared" si="11"/>
        <v>Ontario</v>
      </c>
      <c r="D746" s="1" t="s">
        <v>73</v>
      </c>
      <c r="E746" s="5">
        <v>44</v>
      </c>
      <c r="F746" s="1" t="s">
        <v>1713</v>
      </c>
      <c r="G746" s="1" t="s">
        <v>415</v>
      </c>
      <c r="H746" t="s">
        <v>2270</v>
      </c>
      <c r="I746" s="1" t="s">
        <v>24</v>
      </c>
      <c r="J746" s="1" t="s">
        <v>25</v>
      </c>
      <c r="K746" s="1" t="s">
        <v>31</v>
      </c>
      <c r="L746" s="1" t="s">
        <v>91</v>
      </c>
      <c r="M746" s="1" t="s">
        <v>1714</v>
      </c>
      <c r="N746" s="1" t="s">
        <v>60</v>
      </c>
      <c r="O746" s="1" t="s">
        <v>2275</v>
      </c>
    </row>
    <row r="747" spans="1:15" x14ac:dyDescent="0.25">
      <c r="A747">
        <v>1830</v>
      </c>
      <c r="B747" s="1" t="s">
        <v>57</v>
      </c>
      <c r="C747" s="1" t="str">
        <f t="shared" si="11"/>
        <v>British Columbia</v>
      </c>
      <c r="D747" s="1" t="s">
        <v>14</v>
      </c>
      <c r="E747" s="5">
        <v>55</v>
      </c>
      <c r="F747" s="1" t="s">
        <v>1715</v>
      </c>
      <c r="G747" s="1" t="s">
        <v>1716</v>
      </c>
      <c r="H747" t="s">
        <v>2270</v>
      </c>
      <c r="I747" s="1" t="s">
        <v>24</v>
      </c>
      <c r="J747" s="1" t="s">
        <v>44</v>
      </c>
      <c r="K747" s="1" t="s">
        <v>31</v>
      </c>
      <c r="L747" s="1" t="s">
        <v>32</v>
      </c>
      <c r="M747" s="1" t="s">
        <v>1717</v>
      </c>
      <c r="N747" s="1" t="s">
        <v>22</v>
      </c>
      <c r="O747" s="1" t="s">
        <v>2274</v>
      </c>
    </row>
    <row r="748" spans="1:15" x14ac:dyDescent="0.25">
      <c r="A748">
        <v>1841</v>
      </c>
      <c r="B748" s="1" t="s">
        <v>147</v>
      </c>
      <c r="C748" s="1" t="str">
        <f t="shared" si="11"/>
        <v>Manitoba</v>
      </c>
      <c r="D748" s="1" t="s">
        <v>14</v>
      </c>
      <c r="E748" s="5">
        <v>42</v>
      </c>
      <c r="F748" s="1" t="s">
        <v>1718</v>
      </c>
      <c r="G748" s="1" t="s">
        <v>32</v>
      </c>
      <c r="H748" t="s">
        <v>2270</v>
      </c>
      <c r="I748" s="1" t="s">
        <v>17</v>
      </c>
      <c r="J748" s="1" t="s">
        <v>25</v>
      </c>
      <c r="K748" s="1" t="s">
        <v>31</v>
      </c>
      <c r="L748" s="1" t="s">
        <v>91</v>
      </c>
      <c r="M748" s="1" t="s">
        <v>1719</v>
      </c>
      <c r="N748" s="1" t="s">
        <v>22</v>
      </c>
      <c r="O748" s="1" t="s">
        <v>2283</v>
      </c>
    </row>
    <row r="749" spans="1:15" x14ac:dyDescent="0.25">
      <c r="A749">
        <v>1842</v>
      </c>
      <c r="B749" s="1" t="s">
        <v>147</v>
      </c>
      <c r="C749" s="1" t="str">
        <f t="shared" si="11"/>
        <v>Manitoba</v>
      </c>
      <c r="D749" s="1" t="s">
        <v>14</v>
      </c>
      <c r="E749" s="5">
        <v>42</v>
      </c>
      <c r="F749" s="1" t="s">
        <v>1720</v>
      </c>
      <c r="G749" s="1" t="s">
        <v>32</v>
      </c>
      <c r="H749" t="s">
        <v>2270</v>
      </c>
      <c r="I749" s="1" t="s">
        <v>17</v>
      </c>
      <c r="J749" s="1" t="s">
        <v>25</v>
      </c>
      <c r="K749" s="1" t="s">
        <v>31</v>
      </c>
      <c r="L749" s="1" t="s">
        <v>32</v>
      </c>
      <c r="M749" s="1" t="s">
        <v>1721</v>
      </c>
      <c r="N749" s="1" t="s">
        <v>22</v>
      </c>
      <c r="O749" s="1" t="s">
        <v>2283</v>
      </c>
    </row>
    <row r="750" spans="1:15" x14ac:dyDescent="0.25">
      <c r="A750">
        <v>1843</v>
      </c>
      <c r="B750" s="1" t="s">
        <v>147</v>
      </c>
      <c r="C750" s="1" t="str">
        <f t="shared" si="11"/>
        <v>Manitoba</v>
      </c>
      <c r="D750" s="1" t="s">
        <v>14</v>
      </c>
      <c r="E750" s="5">
        <v>42</v>
      </c>
      <c r="F750" s="1" t="s">
        <v>1722</v>
      </c>
      <c r="G750" s="1" t="s">
        <v>32</v>
      </c>
      <c r="H750" t="s">
        <v>2270</v>
      </c>
      <c r="I750" s="1" t="s">
        <v>17</v>
      </c>
      <c r="J750" s="1" t="s">
        <v>25</v>
      </c>
      <c r="K750" s="1" t="s">
        <v>31</v>
      </c>
      <c r="L750" s="1" t="s">
        <v>91</v>
      </c>
      <c r="M750" s="1" t="s">
        <v>1723</v>
      </c>
      <c r="N750" s="1" t="s">
        <v>22</v>
      </c>
      <c r="O750" s="1" t="s">
        <v>2283</v>
      </c>
    </row>
    <row r="751" spans="1:15" x14ac:dyDescent="0.25">
      <c r="A751">
        <v>1844</v>
      </c>
      <c r="B751" s="1" t="s">
        <v>147</v>
      </c>
      <c r="C751" s="1" t="str">
        <f t="shared" si="11"/>
        <v>Manitoba</v>
      </c>
      <c r="D751" s="1" t="s">
        <v>14</v>
      </c>
      <c r="E751" s="5">
        <v>42</v>
      </c>
      <c r="F751" s="1" t="s">
        <v>1724</v>
      </c>
      <c r="G751" s="1" t="s">
        <v>32</v>
      </c>
      <c r="H751" t="s">
        <v>2270</v>
      </c>
      <c r="I751" s="1" t="s">
        <v>17</v>
      </c>
      <c r="J751" s="1" t="s">
        <v>25</v>
      </c>
      <c r="K751" s="1" t="s">
        <v>31</v>
      </c>
      <c r="L751" s="1" t="s">
        <v>32</v>
      </c>
      <c r="M751" s="1" t="s">
        <v>1725</v>
      </c>
      <c r="N751" s="1" t="s">
        <v>22</v>
      </c>
      <c r="O751" s="1" t="s">
        <v>2283</v>
      </c>
    </row>
    <row r="752" spans="1:15" x14ac:dyDescent="0.25">
      <c r="A752">
        <v>1845</v>
      </c>
      <c r="B752" s="1" t="s">
        <v>147</v>
      </c>
      <c r="C752" s="1" t="str">
        <f t="shared" si="11"/>
        <v>Manitoba</v>
      </c>
      <c r="D752" s="1" t="s">
        <v>14</v>
      </c>
      <c r="E752" s="5">
        <v>44</v>
      </c>
      <c r="F752" s="1" t="s">
        <v>32</v>
      </c>
      <c r="G752" s="1" t="s">
        <v>32</v>
      </c>
      <c r="H752" t="s">
        <v>2270</v>
      </c>
      <c r="I752" s="1" t="s">
        <v>24</v>
      </c>
      <c r="J752" s="1" t="s">
        <v>25</v>
      </c>
      <c r="K752" s="1" t="s">
        <v>31</v>
      </c>
      <c r="L752" s="1" t="s">
        <v>91</v>
      </c>
      <c r="M752" s="1" t="s">
        <v>1726</v>
      </c>
      <c r="N752" s="1" t="s">
        <v>22</v>
      </c>
      <c r="O752" s="1" t="s">
        <v>2283</v>
      </c>
    </row>
    <row r="753" spans="1:15" x14ac:dyDescent="0.25">
      <c r="A753">
        <v>1858</v>
      </c>
      <c r="B753" s="1" t="s">
        <v>27</v>
      </c>
      <c r="C753" s="1" t="str">
        <f t="shared" si="11"/>
        <v>Ontario</v>
      </c>
      <c r="D753" s="1" t="s">
        <v>28</v>
      </c>
      <c r="E753" s="5">
        <v>35</v>
      </c>
      <c r="F753" s="1" t="s">
        <v>1727</v>
      </c>
      <c r="G753" s="1" t="s">
        <v>1728</v>
      </c>
      <c r="H753" t="s">
        <v>2270</v>
      </c>
      <c r="I753" s="1" t="s">
        <v>64</v>
      </c>
      <c r="J753" s="1" t="s">
        <v>25</v>
      </c>
      <c r="K753" s="1" t="s">
        <v>31</v>
      </c>
      <c r="L753" s="1" t="s">
        <v>32</v>
      </c>
      <c r="M753" s="1" t="s">
        <v>1729</v>
      </c>
      <c r="N753" s="1" t="s">
        <v>60</v>
      </c>
      <c r="O753" s="1" t="s">
        <v>2275</v>
      </c>
    </row>
    <row r="754" spans="1:15" x14ac:dyDescent="0.25">
      <c r="A754">
        <v>1859</v>
      </c>
      <c r="B754" s="1" t="s">
        <v>27</v>
      </c>
      <c r="C754" s="1" t="str">
        <f t="shared" si="11"/>
        <v>Ontario</v>
      </c>
      <c r="D754" s="1" t="s">
        <v>28</v>
      </c>
      <c r="E754" s="5">
        <v>35</v>
      </c>
      <c r="F754" s="1" t="s">
        <v>1730</v>
      </c>
      <c r="G754" s="1" t="s">
        <v>1731</v>
      </c>
      <c r="H754" t="s">
        <v>2270</v>
      </c>
      <c r="I754" s="1" t="s">
        <v>17</v>
      </c>
      <c r="J754" s="1" t="s">
        <v>25</v>
      </c>
      <c r="K754" s="1" t="s">
        <v>31</v>
      </c>
      <c r="L754" s="1" t="s">
        <v>32</v>
      </c>
      <c r="M754" s="1" t="s">
        <v>1732</v>
      </c>
      <c r="N754" s="1" t="s">
        <v>60</v>
      </c>
      <c r="O754" s="1" t="s">
        <v>2275</v>
      </c>
    </row>
    <row r="755" spans="1:15" x14ac:dyDescent="0.25">
      <c r="A755">
        <v>1860</v>
      </c>
      <c r="B755" s="1" t="s">
        <v>27</v>
      </c>
      <c r="C755" s="1" t="str">
        <f t="shared" si="11"/>
        <v>Ontario</v>
      </c>
      <c r="D755" s="1" t="s">
        <v>28</v>
      </c>
      <c r="E755" s="5">
        <v>55</v>
      </c>
      <c r="F755" s="1" t="s">
        <v>32</v>
      </c>
      <c r="G755" s="1" t="s">
        <v>32</v>
      </c>
      <c r="H755" t="s">
        <v>2270</v>
      </c>
      <c r="I755" s="1" t="s">
        <v>64</v>
      </c>
      <c r="J755" s="1" t="s">
        <v>25</v>
      </c>
      <c r="K755" s="1" t="s">
        <v>31</v>
      </c>
      <c r="L755" s="1" t="s">
        <v>32</v>
      </c>
      <c r="M755" s="1" t="s">
        <v>1733</v>
      </c>
      <c r="N755" s="1" t="s">
        <v>22</v>
      </c>
      <c r="O755" s="1" t="s">
        <v>2275</v>
      </c>
    </row>
    <row r="756" spans="1:15" x14ac:dyDescent="0.25">
      <c r="A756">
        <v>1861</v>
      </c>
      <c r="B756" s="1" t="s">
        <v>27</v>
      </c>
      <c r="C756" s="1" t="str">
        <f t="shared" si="11"/>
        <v>Ontario</v>
      </c>
      <c r="D756" s="1" t="s">
        <v>28</v>
      </c>
      <c r="E756" s="5">
        <v>52</v>
      </c>
      <c r="F756" s="1" t="s">
        <v>32</v>
      </c>
      <c r="G756" s="1" t="s">
        <v>32</v>
      </c>
      <c r="H756" t="s">
        <v>2270</v>
      </c>
      <c r="I756" s="1" t="s">
        <v>43</v>
      </c>
      <c r="J756" s="1" t="s">
        <v>25</v>
      </c>
      <c r="K756" s="1" t="s">
        <v>31</v>
      </c>
      <c r="L756" s="1" t="s">
        <v>32</v>
      </c>
      <c r="M756" s="1" t="s">
        <v>1734</v>
      </c>
      <c r="N756" s="1" t="s">
        <v>22</v>
      </c>
      <c r="O756" s="1" t="s">
        <v>2275</v>
      </c>
    </row>
    <row r="757" spans="1:15" x14ac:dyDescent="0.25">
      <c r="A757">
        <v>1863</v>
      </c>
      <c r="B757" s="1" t="s">
        <v>27</v>
      </c>
      <c r="C757" s="1" t="str">
        <f t="shared" si="11"/>
        <v>Ontario</v>
      </c>
      <c r="D757" s="1" t="s">
        <v>28</v>
      </c>
      <c r="E757" s="5">
        <v>38</v>
      </c>
      <c r="F757" s="1" t="s">
        <v>32</v>
      </c>
      <c r="G757" s="1" t="s">
        <v>32</v>
      </c>
      <c r="H757" t="s">
        <v>2270</v>
      </c>
      <c r="I757" s="1" t="s">
        <v>17</v>
      </c>
      <c r="J757" s="1" t="s">
        <v>44</v>
      </c>
      <c r="K757" s="1" t="s">
        <v>31</v>
      </c>
      <c r="L757" s="1" t="s">
        <v>32</v>
      </c>
      <c r="M757" s="1" t="s">
        <v>1735</v>
      </c>
      <c r="N757" s="1" t="s">
        <v>22</v>
      </c>
      <c r="O757" s="1" t="s">
        <v>2275</v>
      </c>
    </row>
    <row r="758" spans="1:15" x14ac:dyDescent="0.25">
      <c r="A758">
        <v>1864</v>
      </c>
      <c r="B758" s="1" t="s">
        <v>27</v>
      </c>
      <c r="C758" s="1" t="str">
        <f t="shared" si="11"/>
        <v>Ontario</v>
      </c>
      <c r="D758" s="1" t="s">
        <v>28</v>
      </c>
      <c r="E758" s="5">
        <v>55</v>
      </c>
      <c r="F758" s="1" t="s">
        <v>32</v>
      </c>
      <c r="G758" s="1" t="s">
        <v>32</v>
      </c>
      <c r="H758" t="s">
        <v>2270</v>
      </c>
      <c r="I758" s="1" t="s">
        <v>43</v>
      </c>
      <c r="J758" s="1" t="s">
        <v>44</v>
      </c>
      <c r="K758" s="1" t="s">
        <v>31</v>
      </c>
      <c r="L758" s="1" t="s">
        <v>45</v>
      </c>
      <c r="M758" s="1" t="s">
        <v>1736</v>
      </c>
      <c r="N758" s="1" t="s">
        <v>60</v>
      </c>
      <c r="O758" s="1" t="s">
        <v>2275</v>
      </c>
    </row>
    <row r="759" spans="1:15" x14ac:dyDescent="0.25">
      <c r="A759">
        <v>1867</v>
      </c>
      <c r="B759" s="1" t="s">
        <v>27</v>
      </c>
      <c r="C759" s="1" t="str">
        <f t="shared" si="11"/>
        <v>Ontario</v>
      </c>
      <c r="D759" s="1" t="s">
        <v>28</v>
      </c>
      <c r="E759" s="5">
        <v>76</v>
      </c>
      <c r="F759" s="1" t="s">
        <v>32</v>
      </c>
      <c r="G759" s="1" t="s">
        <v>32</v>
      </c>
      <c r="H759" t="s">
        <v>2270</v>
      </c>
      <c r="I759" s="1" t="s">
        <v>40</v>
      </c>
      <c r="J759" s="1" t="s">
        <v>25</v>
      </c>
      <c r="K759" s="1" t="s">
        <v>31</v>
      </c>
      <c r="L759" s="1" t="s">
        <v>32</v>
      </c>
      <c r="M759" s="1" t="s">
        <v>1737</v>
      </c>
      <c r="N759" s="1" t="s">
        <v>22</v>
      </c>
      <c r="O759" s="1" t="s">
        <v>2275</v>
      </c>
    </row>
    <row r="760" spans="1:15" x14ac:dyDescent="0.25">
      <c r="A760">
        <v>1868</v>
      </c>
      <c r="B760" s="1" t="s">
        <v>27</v>
      </c>
      <c r="C760" s="1" t="str">
        <f t="shared" si="11"/>
        <v>Ontario</v>
      </c>
      <c r="D760" s="1" t="s">
        <v>28</v>
      </c>
      <c r="E760" s="5">
        <v>52</v>
      </c>
      <c r="F760" s="1" t="s">
        <v>32</v>
      </c>
      <c r="G760" s="1" t="s">
        <v>32</v>
      </c>
      <c r="H760" t="s">
        <v>2270</v>
      </c>
      <c r="I760" s="1" t="s">
        <v>40</v>
      </c>
      <c r="J760" s="1" t="s">
        <v>25</v>
      </c>
      <c r="K760" s="1" t="s">
        <v>31</v>
      </c>
      <c r="L760" s="1" t="s">
        <v>32</v>
      </c>
      <c r="M760" s="1" t="s">
        <v>1738</v>
      </c>
      <c r="N760" s="1" t="s">
        <v>22</v>
      </c>
      <c r="O760" s="1" t="s">
        <v>2275</v>
      </c>
    </row>
    <row r="761" spans="1:15" x14ac:dyDescent="0.25">
      <c r="A761">
        <v>1869</v>
      </c>
      <c r="B761" s="1" t="s">
        <v>27</v>
      </c>
      <c r="C761" s="1" t="str">
        <f t="shared" si="11"/>
        <v>Ontario</v>
      </c>
      <c r="D761" s="1" t="s">
        <v>28</v>
      </c>
      <c r="E761" s="5">
        <v>50</v>
      </c>
      <c r="F761" s="1" t="s">
        <v>1739</v>
      </c>
      <c r="G761" s="1" t="s">
        <v>32</v>
      </c>
      <c r="H761" t="s">
        <v>2270</v>
      </c>
      <c r="I761" s="1" t="s">
        <v>24</v>
      </c>
      <c r="J761" s="1" t="s">
        <v>25</v>
      </c>
      <c r="K761" s="1" t="s">
        <v>31</v>
      </c>
      <c r="L761" s="1" t="s">
        <v>32</v>
      </c>
      <c r="M761" s="1" t="s">
        <v>1740</v>
      </c>
      <c r="N761" s="1" t="s">
        <v>22</v>
      </c>
      <c r="O761" s="1" t="s">
        <v>2275</v>
      </c>
    </row>
    <row r="762" spans="1:15" x14ac:dyDescent="0.25">
      <c r="A762">
        <v>1871</v>
      </c>
      <c r="B762" s="1" t="s">
        <v>104</v>
      </c>
      <c r="C762" s="1" t="str">
        <f t="shared" si="11"/>
        <v>Nova Scotia</v>
      </c>
      <c r="D762" s="1" t="s">
        <v>28</v>
      </c>
      <c r="E762" s="5">
        <v>39</v>
      </c>
      <c r="F762" s="1" t="s">
        <v>1741</v>
      </c>
      <c r="G762" s="1" t="s">
        <v>32</v>
      </c>
      <c r="H762" t="s">
        <v>2270</v>
      </c>
      <c r="I762" s="1" t="s">
        <v>17</v>
      </c>
      <c r="J762" s="1" t="s">
        <v>25</v>
      </c>
      <c r="K762" s="1" t="s">
        <v>31</v>
      </c>
      <c r="L762" s="1" t="s">
        <v>91</v>
      </c>
      <c r="M762" s="1" t="s">
        <v>1742</v>
      </c>
      <c r="N762" s="1" t="s">
        <v>60</v>
      </c>
      <c r="O762" s="1" t="s">
        <v>2286</v>
      </c>
    </row>
    <row r="763" spans="1:15" x14ac:dyDescent="0.25">
      <c r="A763">
        <v>1872</v>
      </c>
      <c r="B763" s="1" t="s">
        <v>27</v>
      </c>
      <c r="C763" s="1" t="str">
        <f t="shared" si="11"/>
        <v>Ontario</v>
      </c>
      <c r="D763" s="1" t="s">
        <v>28</v>
      </c>
      <c r="E763" s="5">
        <v>47</v>
      </c>
      <c r="F763" s="1" t="s">
        <v>1743</v>
      </c>
      <c r="G763" s="1" t="s">
        <v>32</v>
      </c>
      <c r="H763" t="s">
        <v>2270</v>
      </c>
      <c r="I763" s="1" t="s">
        <v>17</v>
      </c>
      <c r="J763" s="1" t="s">
        <v>25</v>
      </c>
      <c r="K763" s="1" t="s">
        <v>107</v>
      </c>
      <c r="L763" s="1" t="s">
        <v>32</v>
      </c>
      <c r="M763" s="1" t="s">
        <v>1744</v>
      </c>
      <c r="N763" s="1" t="s">
        <v>22</v>
      </c>
      <c r="O763" s="1" t="s">
        <v>2275</v>
      </c>
    </row>
    <row r="764" spans="1:15" x14ac:dyDescent="0.25">
      <c r="A764">
        <v>1873</v>
      </c>
      <c r="B764" s="1" t="s">
        <v>27</v>
      </c>
      <c r="C764" s="1" t="str">
        <f t="shared" si="11"/>
        <v>Ontario</v>
      </c>
      <c r="D764" s="1" t="s">
        <v>28</v>
      </c>
      <c r="E764" s="5">
        <v>40</v>
      </c>
      <c r="F764" s="1" t="s">
        <v>1745</v>
      </c>
      <c r="G764" s="1" t="s">
        <v>32</v>
      </c>
      <c r="H764" t="s">
        <v>2270</v>
      </c>
      <c r="I764" s="1" t="s">
        <v>17</v>
      </c>
      <c r="J764" s="1" t="s">
        <v>25</v>
      </c>
      <c r="K764" s="1" t="s">
        <v>31</v>
      </c>
      <c r="L764" s="1" t="s">
        <v>32</v>
      </c>
      <c r="M764" s="1" t="s">
        <v>1746</v>
      </c>
      <c r="N764" s="1" t="s">
        <v>60</v>
      </c>
      <c r="O764" s="1" t="s">
        <v>2275</v>
      </c>
    </row>
    <row r="765" spans="1:15" x14ac:dyDescent="0.25">
      <c r="A765">
        <v>1876</v>
      </c>
      <c r="B765" s="1" t="s">
        <v>27</v>
      </c>
      <c r="C765" s="1" t="str">
        <f t="shared" si="11"/>
        <v>Ontario</v>
      </c>
      <c r="D765" s="1" t="s">
        <v>28</v>
      </c>
      <c r="E765" s="5">
        <v>52</v>
      </c>
      <c r="F765" s="1" t="s">
        <v>32</v>
      </c>
      <c r="G765" s="1" t="s">
        <v>32</v>
      </c>
      <c r="H765" t="s">
        <v>2270</v>
      </c>
      <c r="I765" s="1" t="s">
        <v>24</v>
      </c>
      <c r="J765" s="1" t="s">
        <v>25</v>
      </c>
      <c r="K765" s="1" t="s">
        <v>31</v>
      </c>
      <c r="L765" s="1" t="s">
        <v>32</v>
      </c>
      <c r="M765" s="1" t="s">
        <v>1747</v>
      </c>
      <c r="N765" s="1" t="s">
        <v>22</v>
      </c>
      <c r="O765" s="1" t="s">
        <v>2275</v>
      </c>
    </row>
    <row r="766" spans="1:15" x14ac:dyDescent="0.25">
      <c r="A766">
        <v>1879</v>
      </c>
      <c r="B766" s="1" t="s">
        <v>57</v>
      </c>
      <c r="C766" s="1" t="str">
        <f t="shared" si="11"/>
        <v>British Columbia</v>
      </c>
      <c r="D766" s="1" t="s">
        <v>14</v>
      </c>
      <c r="E766" s="5">
        <v>27</v>
      </c>
      <c r="F766" s="1" t="s">
        <v>1748</v>
      </c>
      <c r="G766" s="1" t="s">
        <v>1749</v>
      </c>
      <c r="H766" t="s">
        <v>2271</v>
      </c>
      <c r="I766" s="1" t="s">
        <v>64</v>
      </c>
      <c r="J766" s="1" t="s">
        <v>25</v>
      </c>
      <c r="K766" s="1" t="s">
        <v>19</v>
      </c>
      <c r="L766" s="1" t="s">
        <v>20</v>
      </c>
      <c r="M766" s="1" t="s">
        <v>1750</v>
      </c>
      <c r="N766" s="1" t="s">
        <v>22</v>
      </c>
      <c r="O766" s="1" t="s">
        <v>2274</v>
      </c>
    </row>
    <row r="767" spans="1:15" x14ac:dyDescent="0.25">
      <c r="A767">
        <v>1880</v>
      </c>
      <c r="B767" s="1" t="s">
        <v>57</v>
      </c>
      <c r="C767" s="1" t="str">
        <f t="shared" si="11"/>
        <v>British Columbia</v>
      </c>
      <c r="D767" s="1" t="s">
        <v>14</v>
      </c>
      <c r="E767" s="5">
        <v>35</v>
      </c>
      <c r="F767" s="1" t="s">
        <v>32</v>
      </c>
      <c r="G767" s="1" t="s">
        <v>1751</v>
      </c>
      <c r="H767" t="s">
        <v>2271</v>
      </c>
      <c r="I767" s="1" t="s">
        <v>17</v>
      </c>
      <c r="J767" s="1" t="s">
        <v>25</v>
      </c>
      <c r="K767" s="1" t="s">
        <v>19</v>
      </c>
      <c r="L767" s="1" t="s">
        <v>20</v>
      </c>
      <c r="M767" s="1" t="s">
        <v>1752</v>
      </c>
      <c r="N767" s="1" t="s">
        <v>60</v>
      </c>
      <c r="O767" s="1" t="s">
        <v>2274</v>
      </c>
    </row>
    <row r="768" spans="1:15" x14ac:dyDescent="0.25">
      <c r="A768">
        <v>1881</v>
      </c>
      <c r="B768" s="1" t="s">
        <v>57</v>
      </c>
      <c r="C768" s="1" t="str">
        <f t="shared" si="11"/>
        <v>British Columbia</v>
      </c>
      <c r="D768" s="1" t="s">
        <v>14</v>
      </c>
      <c r="E768" s="5">
        <v>35</v>
      </c>
      <c r="F768" s="1" t="s">
        <v>1753</v>
      </c>
      <c r="G768" s="1" t="s">
        <v>1754</v>
      </c>
      <c r="H768" t="s">
        <v>2271</v>
      </c>
      <c r="I768" s="1" t="s">
        <v>17</v>
      </c>
      <c r="J768" s="1" t="s">
        <v>25</v>
      </c>
      <c r="K768" s="1" t="s">
        <v>19</v>
      </c>
      <c r="L768" s="1" t="s">
        <v>20</v>
      </c>
      <c r="M768" s="1" t="s">
        <v>1755</v>
      </c>
      <c r="N768" s="1" t="s">
        <v>60</v>
      </c>
      <c r="O768" s="1" t="s">
        <v>2274</v>
      </c>
    </row>
    <row r="769" spans="1:15" x14ac:dyDescent="0.25">
      <c r="A769">
        <v>1883</v>
      </c>
      <c r="B769" s="1" t="s">
        <v>313</v>
      </c>
      <c r="C769" s="1" t="str">
        <f t="shared" si="11"/>
        <v>Prince Edward Island</v>
      </c>
      <c r="D769" s="1" t="s">
        <v>73</v>
      </c>
      <c r="E769" s="5">
        <v>36</v>
      </c>
      <c r="F769" s="1" t="s">
        <v>1756</v>
      </c>
      <c r="G769" s="1" t="s">
        <v>1757</v>
      </c>
      <c r="H769" t="s">
        <v>2270</v>
      </c>
      <c r="I769" s="1" t="s">
        <v>17</v>
      </c>
      <c r="J769" s="1" t="s">
        <v>25</v>
      </c>
      <c r="K769" s="1" t="s">
        <v>19</v>
      </c>
      <c r="L769" s="1" t="s">
        <v>91</v>
      </c>
      <c r="M769" s="1" t="s">
        <v>1758</v>
      </c>
      <c r="N769" s="1" t="s">
        <v>60</v>
      </c>
      <c r="O769" s="1" t="s">
        <v>2287</v>
      </c>
    </row>
    <row r="770" spans="1:15" x14ac:dyDescent="0.25">
      <c r="A770">
        <v>1887</v>
      </c>
      <c r="B770" s="1" t="s">
        <v>27</v>
      </c>
      <c r="C770" s="1" t="str">
        <f t="shared" ref="C770:C833" si="12">IF(B770="NB","New Brunswick",IF(B770="AB","Alberta",IF(B770="BC","British Columbia",IF(B770="MB","Manitoba",IF(B770="NL","Newfoundland and Labrador",IF(B770="NS","Nova Scotia",IF(B770="ON","Ontario",IF(B770="PE","Prince Edward Island",IF(B770="QC","Quebec",IF(B770="SK","Saskatchewan",""))))))))))</f>
        <v>Ontario</v>
      </c>
      <c r="D770" s="1" t="s">
        <v>14</v>
      </c>
      <c r="E770" s="5">
        <v>37</v>
      </c>
      <c r="F770" s="1" t="s">
        <v>1759</v>
      </c>
      <c r="G770" s="1" t="s">
        <v>1760</v>
      </c>
      <c r="H770" t="s">
        <v>2270</v>
      </c>
      <c r="I770" s="1" t="s">
        <v>64</v>
      </c>
      <c r="J770" s="1" t="s">
        <v>25</v>
      </c>
      <c r="K770" s="1" t="s">
        <v>107</v>
      </c>
      <c r="L770" s="1" t="s">
        <v>32</v>
      </c>
      <c r="M770" s="1" t="s">
        <v>1761</v>
      </c>
      <c r="N770" s="1" t="s">
        <v>60</v>
      </c>
      <c r="O770" s="1" t="s">
        <v>2275</v>
      </c>
    </row>
    <row r="771" spans="1:15" x14ac:dyDescent="0.25">
      <c r="A771">
        <v>1888</v>
      </c>
      <c r="B771" s="1" t="s">
        <v>354</v>
      </c>
      <c r="C771" s="1" t="str">
        <f t="shared" si="12"/>
        <v>Quebec</v>
      </c>
      <c r="D771" s="1" t="s">
        <v>14</v>
      </c>
      <c r="E771" s="5">
        <v>29</v>
      </c>
      <c r="F771" s="1" t="s">
        <v>32</v>
      </c>
      <c r="G771" s="1" t="s">
        <v>32</v>
      </c>
      <c r="H771" t="s">
        <v>2270</v>
      </c>
      <c r="I771" s="1" t="s">
        <v>24</v>
      </c>
      <c r="J771" s="1" t="s">
        <v>25</v>
      </c>
      <c r="K771" s="1" t="s">
        <v>19</v>
      </c>
      <c r="L771" s="1" t="s">
        <v>20</v>
      </c>
      <c r="M771" s="1" t="s">
        <v>1762</v>
      </c>
      <c r="N771" s="1" t="s">
        <v>60</v>
      </c>
      <c r="O771" s="1" t="s">
        <v>2276</v>
      </c>
    </row>
    <row r="772" spans="1:15" x14ac:dyDescent="0.25">
      <c r="A772">
        <v>1889</v>
      </c>
      <c r="B772" s="1" t="s">
        <v>354</v>
      </c>
      <c r="C772" s="1" t="str">
        <f t="shared" si="12"/>
        <v>Quebec</v>
      </c>
      <c r="D772" s="1" t="s">
        <v>14</v>
      </c>
      <c r="E772" s="5">
        <v>65</v>
      </c>
      <c r="F772" s="1" t="s">
        <v>32</v>
      </c>
      <c r="G772" s="1" t="s">
        <v>32</v>
      </c>
      <c r="H772" t="s">
        <v>2270</v>
      </c>
      <c r="I772" s="1" t="s">
        <v>24</v>
      </c>
      <c r="J772" s="1" t="s">
        <v>18</v>
      </c>
      <c r="K772" s="1" t="s">
        <v>19</v>
      </c>
      <c r="L772" s="1" t="s">
        <v>20</v>
      </c>
      <c r="M772" s="1" t="s">
        <v>1763</v>
      </c>
      <c r="N772" s="1" t="s">
        <v>60</v>
      </c>
      <c r="O772" s="1" t="s">
        <v>2276</v>
      </c>
    </row>
    <row r="773" spans="1:15" x14ac:dyDescent="0.25">
      <c r="A773">
        <v>1890</v>
      </c>
      <c r="B773" s="1" t="s">
        <v>354</v>
      </c>
      <c r="C773" s="1" t="str">
        <f t="shared" si="12"/>
        <v>Quebec</v>
      </c>
      <c r="D773" s="1" t="s">
        <v>14</v>
      </c>
      <c r="E773" s="5">
        <v>37</v>
      </c>
      <c r="F773" s="1" t="s">
        <v>32</v>
      </c>
      <c r="G773" s="1" t="s">
        <v>1764</v>
      </c>
      <c r="H773" t="s">
        <v>2270</v>
      </c>
      <c r="I773" s="1" t="s">
        <v>17</v>
      </c>
      <c r="J773" s="1" t="s">
        <v>25</v>
      </c>
      <c r="K773" s="1" t="s">
        <v>19</v>
      </c>
      <c r="L773" s="1" t="s">
        <v>20</v>
      </c>
      <c r="M773" s="1" t="s">
        <v>1765</v>
      </c>
      <c r="N773" s="1" t="s">
        <v>60</v>
      </c>
      <c r="O773" s="1" t="s">
        <v>2276</v>
      </c>
    </row>
    <row r="774" spans="1:15" x14ac:dyDescent="0.25">
      <c r="A774">
        <v>1892</v>
      </c>
      <c r="B774" s="1" t="s">
        <v>354</v>
      </c>
      <c r="C774" s="1" t="str">
        <f t="shared" si="12"/>
        <v>Quebec</v>
      </c>
      <c r="D774" s="1" t="s">
        <v>73</v>
      </c>
      <c r="E774" s="5">
        <v>39</v>
      </c>
      <c r="F774" s="1" t="s">
        <v>32</v>
      </c>
      <c r="G774" s="1" t="s">
        <v>32</v>
      </c>
      <c r="H774" t="s">
        <v>2270</v>
      </c>
      <c r="I774" s="1" t="s">
        <v>17</v>
      </c>
      <c r="J774" s="1" t="s">
        <v>25</v>
      </c>
      <c r="K774" s="1" t="s">
        <v>31</v>
      </c>
      <c r="L774" s="1" t="s">
        <v>91</v>
      </c>
      <c r="M774" s="1" t="s">
        <v>1766</v>
      </c>
      <c r="N774" s="1" t="s">
        <v>60</v>
      </c>
      <c r="O774" s="1" t="s">
        <v>2276</v>
      </c>
    </row>
    <row r="775" spans="1:15" x14ac:dyDescent="0.25">
      <c r="A775">
        <v>1893</v>
      </c>
      <c r="B775" s="1" t="s">
        <v>354</v>
      </c>
      <c r="C775" s="1" t="str">
        <f t="shared" si="12"/>
        <v>Quebec</v>
      </c>
      <c r="D775" s="1" t="s">
        <v>14</v>
      </c>
      <c r="E775" s="5">
        <v>45</v>
      </c>
      <c r="F775" s="1" t="s">
        <v>1767</v>
      </c>
      <c r="G775" s="1" t="s">
        <v>32</v>
      </c>
      <c r="H775" t="s">
        <v>2270</v>
      </c>
      <c r="I775" s="1" t="s">
        <v>40</v>
      </c>
      <c r="J775" s="1" t="s">
        <v>44</v>
      </c>
      <c r="K775" s="1" t="s">
        <v>31</v>
      </c>
      <c r="L775" s="1" t="s">
        <v>91</v>
      </c>
      <c r="M775" s="1" t="s">
        <v>1768</v>
      </c>
      <c r="N775" s="1" t="s">
        <v>22</v>
      </c>
      <c r="O775" s="1" t="s">
        <v>2276</v>
      </c>
    </row>
    <row r="776" spans="1:15" x14ac:dyDescent="0.25">
      <c r="A776">
        <v>1895</v>
      </c>
      <c r="B776" s="1" t="s">
        <v>354</v>
      </c>
      <c r="C776" s="1" t="str">
        <f t="shared" si="12"/>
        <v>Quebec</v>
      </c>
      <c r="D776" s="1" t="s">
        <v>14</v>
      </c>
      <c r="E776" s="5">
        <v>55</v>
      </c>
      <c r="F776" s="1" t="s">
        <v>1769</v>
      </c>
      <c r="G776" s="1" t="s">
        <v>114</v>
      </c>
      <c r="H776" t="s">
        <v>2270</v>
      </c>
      <c r="I776" s="1" t="s">
        <v>40</v>
      </c>
      <c r="J776" s="1" t="s">
        <v>44</v>
      </c>
      <c r="K776" s="1" t="s">
        <v>31</v>
      </c>
      <c r="L776" s="1" t="s">
        <v>91</v>
      </c>
      <c r="M776" s="1" t="s">
        <v>1770</v>
      </c>
      <c r="N776" s="1" t="s">
        <v>22</v>
      </c>
      <c r="O776" s="1" t="s">
        <v>2276</v>
      </c>
    </row>
    <row r="777" spans="1:15" x14ac:dyDescent="0.25">
      <c r="A777">
        <v>1896</v>
      </c>
      <c r="B777" s="1" t="s">
        <v>354</v>
      </c>
      <c r="C777" s="1" t="str">
        <f t="shared" si="12"/>
        <v>Quebec</v>
      </c>
      <c r="D777" s="1" t="s">
        <v>14</v>
      </c>
      <c r="E777" s="5">
        <v>50</v>
      </c>
      <c r="F777" s="1" t="s">
        <v>32</v>
      </c>
      <c r="G777" s="1" t="s">
        <v>32</v>
      </c>
      <c r="H777" t="s">
        <v>2270</v>
      </c>
      <c r="I777" s="1" t="s">
        <v>40</v>
      </c>
      <c r="J777" s="1" t="s">
        <v>44</v>
      </c>
      <c r="K777" s="1" t="s">
        <v>31</v>
      </c>
      <c r="L777" s="1" t="s">
        <v>32</v>
      </c>
      <c r="M777" s="1" t="s">
        <v>1771</v>
      </c>
      <c r="N777" s="1" t="s">
        <v>22</v>
      </c>
      <c r="O777" s="1" t="s">
        <v>2276</v>
      </c>
    </row>
    <row r="778" spans="1:15" x14ac:dyDescent="0.25">
      <c r="A778">
        <v>1897</v>
      </c>
      <c r="B778" s="1" t="s">
        <v>354</v>
      </c>
      <c r="C778" s="1" t="str">
        <f t="shared" si="12"/>
        <v>Quebec</v>
      </c>
      <c r="D778" s="1" t="s">
        <v>73</v>
      </c>
      <c r="E778" s="5">
        <v>78</v>
      </c>
      <c r="F778" s="1" t="s">
        <v>1772</v>
      </c>
      <c r="G778" s="1" t="s">
        <v>1773</v>
      </c>
      <c r="H778" t="s">
        <v>2271</v>
      </c>
      <c r="I778" s="1" t="s">
        <v>40</v>
      </c>
      <c r="J778" s="1" t="s">
        <v>44</v>
      </c>
      <c r="K778" s="1" t="s">
        <v>31</v>
      </c>
      <c r="L778" s="1" t="s">
        <v>91</v>
      </c>
      <c r="M778" s="1" t="s">
        <v>1774</v>
      </c>
      <c r="N778" s="1" t="s">
        <v>22</v>
      </c>
      <c r="O778" s="1" t="s">
        <v>2276</v>
      </c>
    </row>
    <row r="779" spans="1:15" x14ac:dyDescent="0.25">
      <c r="A779">
        <v>1898</v>
      </c>
      <c r="B779" s="1" t="s">
        <v>354</v>
      </c>
      <c r="C779" s="1" t="str">
        <f t="shared" si="12"/>
        <v>Quebec</v>
      </c>
      <c r="D779" s="1" t="s">
        <v>14</v>
      </c>
      <c r="E779" s="5">
        <v>45</v>
      </c>
      <c r="F779" s="1" t="s">
        <v>1775</v>
      </c>
      <c r="G779" s="1" t="s">
        <v>32</v>
      </c>
      <c r="H779" t="s">
        <v>2270</v>
      </c>
      <c r="I779" s="1" t="s">
        <v>43</v>
      </c>
      <c r="J779" s="1" t="s">
        <v>44</v>
      </c>
      <c r="K779" s="1" t="s">
        <v>107</v>
      </c>
      <c r="L779" s="1" t="s">
        <v>91</v>
      </c>
      <c r="M779" s="1" t="s">
        <v>1776</v>
      </c>
      <c r="N779" s="1" t="s">
        <v>22</v>
      </c>
      <c r="O779" s="1" t="s">
        <v>2276</v>
      </c>
    </row>
    <row r="780" spans="1:15" x14ac:dyDescent="0.25">
      <c r="A780">
        <v>1899</v>
      </c>
      <c r="B780" s="1" t="s">
        <v>354</v>
      </c>
      <c r="C780" s="1" t="str">
        <f t="shared" si="12"/>
        <v>Quebec</v>
      </c>
      <c r="D780" s="1" t="s">
        <v>14</v>
      </c>
      <c r="E780" s="5">
        <v>62</v>
      </c>
      <c r="F780" s="1" t="s">
        <v>1777</v>
      </c>
      <c r="G780" s="1" t="s">
        <v>32</v>
      </c>
      <c r="H780" t="s">
        <v>2270</v>
      </c>
      <c r="I780" s="1" t="s">
        <v>24</v>
      </c>
      <c r="J780" s="1" t="s">
        <v>44</v>
      </c>
      <c r="K780" s="1" t="s">
        <v>107</v>
      </c>
      <c r="L780" s="1" t="s">
        <v>91</v>
      </c>
      <c r="M780" s="1" t="s">
        <v>1778</v>
      </c>
      <c r="N780" s="1" t="s">
        <v>22</v>
      </c>
      <c r="O780" s="1" t="s">
        <v>2276</v>
      </c>
    </row>
    <row r="781" spans="1:15" x14ac:dyDescent="0.25">
      <c r="A781">
        <v>1900</v>
      </c>
      <c r="B781" s="1" t="s">
        <v>354</v>
      </c>
      <c r="C781" s="1" t="str">
        <f t="shared" si="12"/>
        <v>Quebec</v>
      </c>
      <c r="D781" s="1" t="s">
        <v>14</v>
      </c>
      <c r="E781" s="5">
        <v>60</v>
      </c>
      <c r="F781" s="1" t="s">
        <v>1779</v>
      </c>
      <c r="G781" s="1" t="s">
        <v>32</v>
      </c>
      <c r="H781" t="s">
        <v>2270</v>
      </c>
      <c r="I781" s="1" t="s">
        <v>43</v>
      </c>
      <c r="J781" s="1" t="s">
        <v>44</v>
      </c>
      <c r="K781" s="1" t="s">
        <v>107</v>
      </c>
      <c r="L781" s="1" t="s">
        <v>45</v>
      </c>
      <c r="M781" s="1" t="s">
        <v>1780</v>
      </c>
      <c r="N781" s="1" t="s">
        <v>22</v>
      </c>
      <c r="O781" s="1" t="s">
        <v>2276</v>
      </c>
    </row>
    <row r="782" spans="1:15" x14ac:dyDescent="0.25">
      <c r="A782">
        <v>1901</v>
      </c>
      <c r="B782" s="1" t="s">
        <v>354</v>
      </c>
      <c r="C782" s="1" t="str">
        <f t="shared" si="12"/>
        <v>Quebec</v>
      </c>
      <c r="D782" s="1" t="s">
        <v>73</v>
      </c>
      <c r="E782" s="5">
        <v>56</v>
      </c>
      <c r="F782" s="1" t="s">
        <v>1781</v>
      </c>
      <c r="G782" s="1" t="s">
        <v>32</v>
      </c>
      <c r="H782" t="s">
        <v>2270</v>
      </c>
      <c r="I782" s="1" t="s">
        <v>40</v>
      </c>
      <c r="J782" s="1" t="s">
        <v>25</v>
      </c>
      <c r="K782" s="1" t="s">
        <v>19</v>
      </c>
      <c r="L782" s="1" t="s">
        <v>91</v>
      </c>
      <c r="M782" s="1" t="s">
        <v>1782</v>
      </c>
      <c r="N782" s="1" t="s">
        <v>22</v>
      </c>
      <c r="O782" s="1" t="s">
        <v>2276</v>
      </c>
    </row>
    <row r="783" spans="1:15" x14ac:dyDescent="0.25">
      <c r="A783">
        <v>1902</v>
      </c>
      <c r="B783" s="1" t="s">
        <v>354</v>
      </c>
      <c r="C783" s="1" t="str">
        <f t="shared" si="12"/>
        <v>Quebec</v>
      </c>
      <c r="D783" s="1" t="s">
        <v>28</v>
      </c>
      <c r="E783" s="5">
        <v>47</v>
      </c>
      <c r="F783" s="1" t="s">
        <v>1783</v>
      </c>
      <c r="G783" s="1" t="s">
        <v>1784</v>
      </c>
      <c r="H783" t="s">
        <v>2270</v>
      </c>
      <c r="I783" s="1" t="s">
        <v>24</v>
      </c>
      <c r="J783" s="1" t="s">
        <v>25</v>
      </c>
      <c r="K783" s="1" t="s">
        <v>31</v>
      </c>
      <c r="L783" s="1" t="s">
        <v>20</v>
      </c>
      <c r="M783" s="1" t="s">
        <v>1785</v>
      </c>
      <c r="N783" s="1" t="s">
        <v>22</v>
      </c>
      <c r="O783" s="1" t="s">
        <v>2276</v>
      </c>
    </row>
    <row r="784" spans="1:15" x14ac:dyDescent="0.25">
      <c r="A784">
        <v>1904</v>
      </c>
      <c r="B784" s="1" t="s">
        <v>354</v>
      </c>
      <c r="C784" s="1" t="str">
        <f t="shared" si="12"/>
        <v>Quebec</v>
      </c>
      <c r="D784" s="1" t="s">
        <v>73</v>
      </c>
      <c r="E784" s="5">
        <v>64</v>
      </c>
      <c r="F784" s="1" t="s">
        <v>32</v>
      </c>
      <c r="G784" s="1" t="s">
        <v>32</v>
      </c>
      <c r="H784" t="s">
        <v>2270</v>
      </c>
      <c r="I784" s="1" t="s">
        <v>40</v>
      </c>
      <c r="J784" s="1" t="s">
        <v>18</v>
      </c>
      <c r="K784" s="1" t="s">
        <v>31</v>
      </c>
      <c r="L784" s="1" t="s">
        <v>32</v>
      </c>
      <c r="M784" s="1" t="s">
        <v>1786</v>
      </c>
      <c r="N784" s="1" t="s">
        <v>22</v>
      </c>
      <c r="O784" s="1" t="s">
        <v>2276</v>
      </c>
    </row>
    <row r="785" spans="1:15" x14ac:dyDescent="0.25">
      <c r="A785">
        <v>1905</v>
      </c>
      <c r="B785" s="1" t="s">
        <v>354</v>
      </c>
      <c r="C785" s="1" t="str">
        <f t="shared" si="12"/>
        <v>Quebec</v>
      </c>
      <c r="D785" s="1" t="s">
        <v>73</v>
      </c>
      <c r="E785" s="5">
        <v>54</v>
      </c>
      <c r="F785" s="1" t="s">
        <v>32</v>
      </c>
      <c r="G785" s="1" t="s">
        <v>32</v>
      </c>
      <c r="H785" t="s">
        <v>2270</v>
      </c>
      <c r="I785" s="1" t="s">
        <v>43</v>
      </c>
      <c r="J785" s="1" t="s">
        <v>44</v>
      </c>
      <c r="K785" s="1" t="s">
        <v>31</v>
      </c>
      <c r="L785" s="1" t="s">
        <v>45</v>
      </c>
      <c r="M785" s="1" t="s">
        <v>1787</v>
      </c>
      <c r="N785" s="1" t="s">
        <v>22</v>
      </c>
      <c r="O785" s="1" t="s">
        <v>2276</v>
      </c>
    </row>
    <row r="786" spans="1:15" x14ac:dyDescent="0.25">
      <c r="A786">
        <v>1906</v>
      </c>
      <c r="B786" s="1" t="s">
        <v>354</v>
      </c>
      <c r="C786" s="1" t="str">
        <f t="shared" si="12"/>
        <v>Quebec</v>
      </c>
      <c r="D786" s="1" t="s">
        <v>73</v>
      </c>
      <c r="E786" s="5">
        <v>41</v>
      </c>
      <c r="F786" s="1" t="s">
        <v>1788</v>
      </c>
      <c r="G786" s="1" t="s">
        <v>32</v>
      </c>
      <c r="H786" t="s">
        <v>2270</v>
      </c>
      <c r="I786" s="1" t="s">
        <v>17</v>
      </c>
      <c r="J786" s="1" t="s">
        <v>44</v>
      </c>
      <c r="K786" s="1" t="s">
        <v>31</v>
      </c>
      <c r="L786" s="1" t="s">
        <v>91</v>
      </c>
      <c r="M786" s="1" t="s">
        <v>1789</v>
      </c>
      <c r="N786" s="1" t="s">
        <v>60</v>
      </c>
      <c r="O786" s="1" t="s">
        <v>2276</v>
      </c>
    </row>
    <row r="787" spans="1:15" x14ac:dyDescent="0.25">
      <c r="A787">
        <v>1907</v>
      </c>
      <c r="B787" s="1" t="s">
        <v>354</v>
      </c>
      <c r="C787" s="1" t="str">
        <f t="shared" si="12"/>
        <v>Quebec</v>
      </c>
      <c r="D787" s="1" t="s">
        <v>73</v>
      </c>
      <c r="E787" s="5">
        <v>54</v>
      </c>
      <c r="F787" s="1" t="s">
        <v>32</v>
      </c>
      <c r="G787" s="1" t="s">
        <v>32</v>
      </c>
      <c r="H787" t="s">
        <v>2270</v>
      </c>
      <c r="I787" s="1" t="s">
        <v>43</v>
      </c>
      <c r="J787" s="1" t="s">
        <v>25</v>
      </c>
      <c r="K787" s="1" t="s">
        <v>31</v>
      </c>
      <c r="L787" s="1" t="s">
        <v>45</v>
      </c>
      <c r="M787" s="1" t="s">
        <v>1790</v>
      </c>
      <c r="N787" s="1" t="s">
        <v>22</v>
      </c>
      <c r="O787" s="1" t="s">
        <v>2276</v>
      </c>
    </row>
    <row r="788" spans="1:15" x14ac:dyDescent="0.25">
      <c r="A788">
        <v>1908</v>
      </c>
      <c r="B788" s="1" t="s">
        <v>354</v>
      </c>
      <c r="C788" s="1" t="str">
        <f t="shared" si="12"/>
        <v>Quebec</v>
      </c>
      <c r="D788" s="1" t="s">
        <v>73</v>
      </c>
      <c r="E788" s="5">
        <v>69</v>
      </c>
      <c r="F788" s="1" t="s">
        <v>32</v>
      </c>
      <c r="G788" s="1" t="s">
        <v>32</v>
      </c>
      <c r="H788" t="s">
        <v>2270</v>
      </c>
      <c r="I788" s="1" t="s">
        <v>40</v>
      </c>
      <c r="J788" s="1" t="s">
        <v>44</v>
      </c>
      <c r="K788" s="1" t="s">
        <v>31</v>
      </c>
      <c r="L788" s="1" t="s">
        <v>91</v>
      </c>
      <c r="M788" s="1" t="s">
        <v>1791</v>
      </c>
      <c r="N788" s="1" t="s">
        <v>22</v>
      </c>
      <c r="O788" s="1" t="s">
        <v>2276</v>
      </c>
    </row>
    <row r="789" spans="1:15" x14ac:dyDescent="0.25">
      <c r="A789">
        <v>1909</v>
      </c>
      <c r="B789" s="1" t="s">
        <v>354</v>
      </c>
      <c r="C789" s="1" t="str">
        <f t="shared" si="12"/>
        <v>Quebec</v>
      </c>
      <c r="D789" s="1" t="s">
        <v>73</v>
      </c>
      <c r="E789" s="5">
        <v>39</v>
      </c>
      <c r="F789" s="1" t="s">
        <v>32</v>
      </c>
      <c r="G789" s="1" t="s">
        <v>32</v>
      </c>
      <c r="H789" t="s">
        <v>2270</v>
      </c>
      <c r="I789" s="1" t="s">
        <v>24</v>
      </c>
      <c r="J789" s="1" t="s">
        <v>18</v>
      </c>
      <c r="K789" s="1" t="s">
        <v>31</v>
      </c>
      <c r="L789" s="1" t="s">
        <v>20</v>
      </c>
      <c r="M789" s="1" t="s">
        <v>1792</v>
      </c>
      <c r="N789" s="1" t="s">
        <v>60</v>
      </c>
      <c r="O789" s="1" t="s">
        <v>2276</v>
      </c>
    </row>
    <row r="790" spans="1:15" x14ac:dyDescent="0.25">
      <c r="A790">
        <v>1910</v>
      </c>
      <c r="B790" s="1" t="s">
        <v>354</v>
      </c>
      <c r="C790" s="1" t="str">
        <f t="shared" si="12"/>
        <v>Quebec</v>
      </c>
      <c r="D790" s="1" t="s">
        <v>73</v>
      </c>
      <c r="E790" s="5">
        <v>56</v>
      </c>
      <c r="F790" s="1" t="s">
        <v>32</v>
      </c>
      <c r="G790" s="1" t="s">
        <v>32</v>
      </c>
      <c r="H790" t="s">
        <v>2270</v>
      </c>
      <c r="I790" s="1" t="s">
        <v>43</v>
      </c>
      <c r="J790" s="1" t="s">
        <v>44</v>
      </c>
      <c r="K790" s="1" t="s">
        <v>31</v>
      </c>
      <c r="L790" s="1" t="s">
        <v>45</v>
      </c>
      <c r="M790" s="1" t="s">
        <v>1793</v>
      </c>
      <c r="N790" s="1" t="s">
        <v>22</v>
      </c>
      <c r="O790" s="1" t="s">
        <v>2276</v>
      </c>
    </row>
    <row r="791" spans="1:15" x14ac:dyDescent="0.25">
      <c r="A791">
        <v>1911</v>
      </c>
      <c r="B791" s="1" t="s">
        <v>354</v>
      </c>
      <c r="C791" s="1" t="str">
        <f t="shared" si="12"/>
        <v>Quebec</v>
      </c>
      <c r="D791" s="1" t="s">
        <v>73</v>
      </c>
      <c r="E791" s="5">
        <v>41</v>
      </c>
      <c r="F791" s="1" t="s">
        <v>1794</v>
      </c>
      <c r="G791" s="1" t="s">
        <v>32</v>
      </c>
      <c r="H791" t="s">
        <v>2270</v>
      </c>
      <c r="I791" s="1" t="s">
        <v>17</v>
      </c>
      <c r="J791" s="1" t="s">
        <v>18</v>
      </c>
      <c r="K791" s="1" t="s">
        <v>31</v>
      </c>
      <c r="L791" s="1" t="s">
        <v>91</v>
      </c>
      <c r="M791" s="1" t="s">
        <v>1795</v>
      </c>
      <c r="N791" s="1" t="s">
        <v>60</v>
      </c>
      <c r="O791" s="1" t="s">
        <v>2276</v>
      </c>
    </row>
    <row r="792" spans="1:15" x14ac:dyDescent="0.25">
      <c r="A792">
        <v>1912</v>
      </c>
      <c r="B792" s="1" t="s">
        <v>354</v>
      </c>
      <c r="C792" s="1" t="str">
        <f t="shared" si="12"/>
        <v>Quebec</v>
      </c>
      <c r="D792" s="1" t="s">
        <v>73</v>
      </c>
      <c r="E792" s="5">
        <v>70</v>
      </c>
      <c r="F792" s="1" t="s">
        <v>1796</v>
      </c>
      <c r="G792" s="1" t="s">
        <v>32</v>
      </c>
      <c r="H792" t="s">
        <v>2270</v>
      </c>
      <c r="I792" s="1" t="s">
        <v>40</v>
      </c>
      <c r="J792" s="1" t="s">
        <v>25</v>
      </c>
      <c r="K792" s="1" t="s">
        <v>31</v>
      </c>
      <c r="L792" s="1" t="s">
        <v>91</v>
      </c>
      <c r="M792" s="1" t="s">
        <v>1797</v>
      </c>
      <c r="N792" s="1" t="s">
        <v>22</v>
      </c>
      <c r="O792" s="1" t="s">
        <v>2276</v>
      </c>
    </row>
    <row r="793" spans="1:15" x14ac:dyDescent="0.25">
      <c r="A793">
        <v>1913</v>
      </c>
      <c r="B793" s="1" t="s">
        <v>354</v>
      </c>
      <c r="C793" s="1" t="str">
        <f t="shared" si="12"/>
        <v>Quebec</v>
      </c>
      <c r="D793" s="1" t="s">
        <v>73</v>
      </c>
      <c r="E793" s="5">
        <v>56</v>
      </c>
      <c r="F793" s="1" t="s">
        <v>32</v>
      </c>
      <c r="G793" s="1" t="s">
        <v>32</v>
      </c>
      <c r="H793" t="s">
        <v>2270</v>
      </c>
      <c r="I793" s="1" t="s">
        <v>43</v>
      </c>
      <c r="J793" s="1" t="s">
        <v>25</v>
      </c>
      <c r="K793" s="1" t="s">
        <v>31</v>
      </c>
      <c r="L793" s="1" t="s">
        <v>45</v>
      </c>
      <c r="M793" s="1" t="s">
        <v>1798</v>
      </c>
      <c r="N793" s="1" t="s">
        <v>22</v>
      </c>
      <c r="O793" s="1" t="s">
        <v>2276</v>
      </c>
    </row>
    <row r="794" spans="1:15" x14ac:dyDescent="0.25">
      <c r="A794">
        <v>1914</v>
      </c>
      <c r="B794" s="1" t="s">
        <v>354</v>
      </c>
      <c r="C794" s="1" t="str">
        <f t="shared" si="12"/>
        <v>Quebec</v>
      </c>
      <c r="D794" s="1" t="s">
        <v>73</v>
      </c>
      <c r="E794" s="5">
        <v>56</v>
      </c>
      <c r="F794" s="1" t="s">
        <v>32</v>
      </c>
      <c r="G794" s="1" t="s">
        <v>32</v>
      </c>
      <c r="H794" t="s">
        <v>2270</v>
      </c>
      <c r="I794" s="1" t="s">
        <v>43</v>
      </c>
      <c r="J794" s="1" t="s">
        <v>18</v>
      </c>
      <c r="K794" s="1" t="s">
        <v>31</v>
      </c>
      <c r="L794" s="1" t="s">
        <v>45</v>
      </c>
      <c r="M794" s="1" t="s">
        <v>1799</v>
      </c>
      <c r="N794" s="1" t="s">
        <v>22</v>
      </c>
      <c r="O794" s="1" t="s">
        <v>2276</v>
      </c>
    </row>
    <row r="795" spans="1:15" x14ac:dyDescent="0.25">
      <c r="A795">
        <v>1915</v>
      </c>
      <c r="B795" s="1" t="s">
        <v>354</v>
      </c>
      <c r="C795" s="1" t="str">
        <f t="shared" si="12"/>
        <v>Quebec</v>
      </c>
      <c r="D795" s="1" t="s">
        <v>73</v>
      </c>
      <c r="E795" s="5">
        <v>54</v>
      </c>
      <c r="F795" s="1" t="s">
        <v>32</v>
      </c>
      <c r="G795" s="1" t="s">
        <v>32</v>
      </c>
      <c r="H795" t="s">
        <v>2270</v>
      </c>
      <c r="I795" s="1" t="s">
        <v>43</v>
      </c>
      <c r="J795" s="1" t="s">
        <v>18</v>
      </c>
      <c r="K795" s="1" t="s">
        <v>31</v>
      </c>
      <c r="L795" s="1" t="s">
        <v>45</v>
      </c>
      <c r="M795" s="1" t="s">
        <v>1800</v>
      </c>
      <c r="N795" s="1" t="s">
        <v>22</v>
      </c>
      <c r="O795" s="1" t="s">
        <v>2276</v>
      </c>
    </row>
    <row r="796" spans="1:15" x14ac:dyDescent="0.25">
      <c r="A796">
        <v>1916</v>
      </c>
      <c r="B796" s="1" t="s">
        <v>354</v>
      </c>
      <c r="C796" s="1" t="str">
        <f t="shared" si="12"/>
        <v>Quebec</v>
      </c>
      <c r="D796" s="1" t="s">
        <v>73</v>
      </c>
      <c r="E796" s="5">
        <v>41</v>
      </c>
      <c r="F796" s="1" t="s">
        <v>1794</v>
      </c>
      <c r="G796" s="1" t="s">
        <v>32</v>
      </c>
      <c r="H796" t="s">
        <v>2270</v>
      </c>
      <c r="I796" s="1" t="s">
        <v>17</v>
      </c>
      <c r="J796" s="1" t="s">
        <v>25</v>
      </c>
      <c r="K796" s="1" t="s">
        <v>31</v>
      </c>
      <c r="L796" s="1" t="s">
        <v>91</v>
      </c>
      <c r="M796" s="1" t="s">
        <v>1801</v>
      </c>
      <c r="N796" s="1" t="s">
        <v>60</v>
      </c>
      <c r="O796" s="1" t="s">
        <v>2276</v>
      </c>
    </row>
    <row r="797" spans="1:15" x14ac:dyDescent="0.25">
      <c r="A797">
        <v>1917</v>
      </c>
      <c r="B797" s="1" t="s">
        <v>354</v>
      </c>
      <c r="C797" s="1" t="str">
        <f t="shared" si="12"/>
        <v>Quebec</v>
      </c>
      <c r="D797" s="1" t="s">
        <v>73</v>
      </c>
      <c r="E797" s="5">
        <v>39</v>
      </c>
      <c r="F797" s="1" t="s">
        <v>32</v>
      </c>
      <c r="G797" s="1" t="s">
        <v>32</v>
      </c>
      <c r="H797" t="s">
        <v>2270</v>
      </c>
      <c r="I797" s="1" t="s">
        <v>24</v>
      </c>
      <c r="J797" s="1" t="s">
        <v>25</v>
      </c>
      <c r="K797" s="1" t="s">
        <v>31</v>
      </c>
      <c r="L797" s="1" t="s">
        <v>20</v>
      </c>
      <c r="M797" s="1" t="s">
        <v>1802</v>
      </c>
      <c r="N797" s="1" t="s">
        <v>60</v>
      </c>
      <c r="O797" s="1" t="s">
        <v>2276</v>
      </c>
    </row>
    <row r="798" spans="1:15" x14ac:dyDescent="0.25">
      <c r="A798">
        <v>1918</v>
      </c>
      <c r="B798" s="1" t="s">
        <v>354</v>
      </c>
      <c r="C798" s="1" t="str">
        <f t="shared" si="12"/>
        <v>Quebec</v>
      </c>
      <c r="D798" s="1" t="s">
        <v>73</v>
      </c>
      <c r="E798" s="5">
        <v>35</v>
      </c>
      <c r="F798" s="1" t="s">
        <v>32</v>
      </c>
      <c r="G798" s="1" t="s">
        <v>32</v>
      </c>
      <c r="H798" t="s">
        <v>2270</v>
      </c>
      <c r="I798" s="1" t="s">
        <v>17</v>
      </c>
      <c r="J798" s="1" t="s">
        <v>44</v>
      </c>
      <c r="K798" s="1" t="s">
        <v>31</v>
      </c>
      <c r="L798" s="1" t="s">
        <v>20</v>
      </c>
      <c r="M798" s="1" t="s">
        <v>1803</v>
      </c>
      <c r="N798" s="1" t="s">
        <v>60</v>
      </c>
      <c r="O798" s="1" t="s">
        <v>2276</v>
      </c>
    </row>
    <row r="799" spans="1:15" x14ac:dyDescent="0.25">
      <c r="A799">
        <v>1919</v>
      </c>
      <c r="B799" s="1" t="s">
        <v>354</v>
      </c>
      <c r="C799" s="1" t="str">
        <f t="shared" si="12"/>
        <v>Quebec</v>
      </c>
      <c r="D799" s="1" t="s">
        <v>73</v>
      </c>
      <c r="E799" s="5">
        <v>64</v>
      </c>
      <c r="F799" s="1" t="s">
        <v>1804</v>
      </c>
      <c r="G799" s="1" t="s">
        <v>32</v>
      </c>
      <c r="H799" t="s">
        <v>2270</v>
      </c>
      <c r="I799" s="1" t="s">
        <v>24</v>
      </c>
      <c r="J799" s="1" t="s">
        <v>44</v>
      </c>
      <c r="K799" s="1" t="s">
        <v>31</v>
      </c>
      <c r="L799" s="1" t="s">
        <v>91</v>
      </c>
      <c r="M799" s="1" t="s">
        <v>1805</v>
      </c>
      <c r="N799" s="1" t="s">
        <v>22</v>
      </c>
      <c r="O799" s="1" t="s">
        <v>2276</v>
      </c>
    </row>
    <row r="800" spans="1:15" x14ac:dyDescent="0.25">
      <c r="A800">
        <v>1920</v>
      </c>
      <c r="B800" s="1" t="s">
        <v>354</v>
      </c>
      <c r="C800" s="1" t="str">
        <f t="shared" si="12"/>
        <v>Quebec</v>
      </c>
      <c r="D800" s="1" t="s">
        <v>73</v>
      </c>
      <c r="E800" s="5">
        <v>41</v>
      </c>
      <c r="F800" s="1" t="s">
        <v>1794</v>
      </c>
      <c r="G800" s="1" t="s">
        <v>32</v>
      </c>
      <c r="H800" t="s">
        <v>2270</v>
      </c>
      <c r="I800" s="1" t="s">
        <v>17</v>
      </c>
      <c r="J800" s="1" t="s">
        <v>44</v>
      </c>
      <c r="K800" s="1" t="s">
        <v>31</v>
      </c>
      <c r="L800" s="1" t="s">
        <v>91</v>
      </c>
      <c r="M800" s="1" t="s">
        <v>1806</v>
      </c>
      <c r="N800" s="1" t="s">
        <v>60</v>
      </c>
      <c r="O800" s="1" t="s">
        <v>2276</v>
      </c>
    </row>
    <row r="801" spans="1:15" x14ac:dyDescent="0.25">
      <c r="A801">
        <v>1921</v>
      </c>
      <c r="B801" s="1" t="s">
        <v>354</v>
      </c>
      <c r="C801" s="1" t="str">
        <f t="shared" si="12"/>
        <v>Quebec</v>
      </c>
      <c r="D801" s="1" t="s">
        <v>73</v>
      </c>
      <c r="E801" s="5">
        <v>64</v>
      </c>
      <c r="F801" s="1" t="s">
        <v>1807</v>
      </c>
      <c r="G801" s="1" t="s">
        <v>32</v>
      </c>
      <c r="H801" t="s">
        <v>2270</v>
      </c>
      <c r="I801" s="1" t="s">
        <v>40</v>
      </c>
      <c r="J801" s="1" t="s">
        <v>25</v>
      </c>
      <c r="K801" s="1" t="s">
        <v>31</v>
      </c>
      <c r="L801" s="1" t="s">
        <v>91</v>
      </c>
      <c r="M801" s="1" t="s">
        <v>1808</v>
      </c>
      <c r="N801" s="1" t="s">
        <v>22</v>
      </c>
      <c r="O801" s="1" t="s">
        <v>2276</v>
      </c>
    </row>
    <row r="802" spans="1:15" x14ac:dyDescent="0.25">
      <c r="A802">
        <v>1922</v>
      </c>
      <c r="B802" s="1" t="s">
        <v>354</v>
      </c>
      <c r="C802" s="1" t="str">
        <f t="shared" si="12"/>
        <v>Quebec</v>
      </c>
      <c r="D802" s="1" t="s">
        <v>73</v>
      </c>
      <c r="E802" s="5">
        <v>41</v>
      </c>
      <c r="F802" s="1" t="s">
        <v>1809</v>
      </c>
      <c r="G802" s="1" t="s">
        <v>32</v>
      </c>
      <c r="H802" t="s">
        <v>2270</v>
      </c>
      <c r="I802" s="1" t="s">
        <v>17</v>
      </c>
      <c r="J802" s="1" t="s">
        <v>25</v>
      </c>
      <c r="K802" s="1" t="s">
        <v>31</v>
      </c>
      <c r="L802" s="1" t="s">
        <v>32</v>
      </c>
      <c r="M802" s="1" t="s">
        <v>1810</v>
      </c>
      <c r="N802" s="1" t="s">
        <v>60</v>
      </c>
      <c r="O802" s="1" t="s">
        <v>2276</v>
      </c>
    </row>
    <row r="803" spans="1:15" x14ac:dyDescent="0.25">
      <c r="A803">
        <v>1923</v>
      </c>
      <c r="B803" s="1" t="s">
        <v>354</v>
      </c>
      <c r="C803" s="1" t="str">
        <f t="shared" si="12"/>
        <v>Quebec</v>
      </c>
      <c r="D803" s="1" t="s">
        <v>28</v>
      </c>
      <c r="E803" s="5">
        <v>42</v>
      </c>
      <c r="F803" s="1" t="s">
        <v>1811</v>
      </c>
      <c r="G803" s="1" t="s">
        <v>995</v>
      </c>
      <c r="H803" t="s">
        <v>2270</v>
      </c>
      <c r="I803" s="1" t="s">
        <v>24</v>
      </c>
      <c r="J803" s="1" t="s">
        <v>25</v>
      </c>
      <c r="K803" s="1" t="s">
        <v>31</v>
      </c>
      <c r="L803" s="1" t="s">
        <v>32</v>
      </c>
      <c r="M803" s="1" t="s">
        <v>1812</v>
      </c>
      <c r="N803" s="1" t="s">
        <v>22</v>
      </c>
      <c r="O803" s="1" t="s">
        <v>2276</v>
      </c>
    </row>
    <row r="804" spans="1:15" x14ac:dyDescent="0.25">
      <c r="A804">
        <v>1924</v>
      </c>
      <c r="B804" s="1" t="s">
        <v>354</v>
      </c>
      <c r="C804" s="1" t="str">
        <f t="shared" si="12"/>
        <v>Quebec</v>
      </c>
      <c r="D804" s="1" t="s">
        <v>73</v>
      </c>
      <c r="E804" s="5">
        <v>34</v>
      </c>
      <c r="F804" s="1" t="s">
        <v>1813</v>
      </c>
      <c r="G804" s="1" t="s">
        <v>1814</v>
      </c>
      <c r="H804" t="s">
        <v>2270</v>
      </c>
      <c r="I804" s="1" t="s">
        <v>17</v>
      </c>
      <c r="J804" s="1" t="s">
        <v>25</v>
      </c>
      <c r="K804" s="1" t="s">
        <v>19</v>
      </c>
      <c r="L804" s="1" t="s">
        <v>20</v>
      </c>
      <c r="M804" s="1" t="s">
        <v>1815</v>
      </c>
      <c r="N804" s="1" t="s">
        <v>60</v>
      </c>
      <c r="O804" s="1" t="s">
        <v>2276</v>
      </c>
    </row>
    <row r="805" spans="1:15" x14ac:dyDescent="0.25">
      <c r="A805">
        <v>1925</v>
      </c>
      <c r="B805" s="1" t="s">
        <v>354</v>
      </c>
      <c r="C805" s="1" t="str">
        <f t="shared" si="12"/>
        <v>Quebec</v>
      </c>
      <c r="D805" s="1" t="s">
        <v>73</v>
      </c>
      <c r="E805" s="5">
        <v>50</v>
      </c>
      <c r="F805" s="1" t="s">
        <v>1816</v>
      </c>
      <c r="G805" s="1" t="s">
        <v>32</v>
      </c>
      <c r="H805" t="s">
        <v>2270</v>
      </c>
      <c r="I805" s="1" t="s">
        <v>43</v>
      </c>
      <c r="J805" s="1" t="s">
        <v>25</v>
      </c>
      <c r="K805" s="1" t="s">
        <v>31</v>
      </c>
      <c r="L805" s="1" t="s">
        <v>45</v>
      </c>
      <c r="M805" s="1" t="s">
        <v>1817</v>
      </c>
      <c r="N805" s="1" t="s">
        <v>22</v>
      </c>
      <c r="O805" s="1" t="s">
        <v>2276</v>
      </c>
    </row>
    <row r="806" spans="1:15" x14ac:dyDescent="0.25">
      <c r="A806">
        <v>1926</v>
      </c>
      <c r="B806" s="1" t="s">
        <v>354</v>
      </c>
      <c r="C806" s="1" t="str">
        <f t="shared" si="12"/>
        <v>Quebec</v>
      </c>
      <c r="D806" s="1" t="s">
        <v>14</v>
      </c>
      <c r="E806" s="5">
        <v>46</v>
      </c>
      <c r="F806" s="1" t="s">
        <v>32</v>
      </c>
      <c r="G806" s="1" t="s">
        <v>32</v>
      </c>
      <c r="H806" t="s">
        <v>2270</v>
      </c>
      <c r="I806" s="1" t="s">
        <v>24</v>
      </c>
      <c r="J806" s="1" t="s">
        <v>25</v>
      </c>
      <c r="K806" s="1" t="s">
        <v>107</v>
      </c>
      <c r="L806" s="1" t="s">
        <v>20</v>
      </c>
      <c r="M806" s="1" t="s">
        <v>1818</v>
      </c>
      <c r="N806" s="1" t="s">
        <v>22</v>
      </c>
      <c r="O806" s="1" t="s">
        <v>2276</v>
      </c>
    </row>
    <row r="807" spans="1:15" x14ac:dyDescent="0.25">
      <c r="A807">
        <v>1928</v>
      </c>
      <c r="B807" s="1" t="s">
        <v>354</v>
      </c>
      <c r="C807" s="1" t="str">
        <f t="shared" si="12"/>
        <v>Quebec</v>
      </c>
      <c r="D807" s="1" t="s">
        <v>14</v>
      </c>
      <c r="E807" s="5">
        <v>50</v>
      </c>
      <c r="F807" s="1" t="s">
        <v>1819</v>
      </c>
      <c r="G807" s="1" t="s">
        <v>32</v>
      </c>
      <c r="H807" t="s">
        <v>2270</v>
      </c>
      <c r="I807" s="1" t="s">
        <v>43</v>
      </c>
      <c r="J807" s="1" t="s">
        <v>25</v>
      </c>
      <c r="K807" s="1" t="s">
        <v>31</v>
      </c>
      <c r="L807" s="1" t="s">
        <v>45</v>
      </c>
      <c r="M807" s="1" t="s">
        <v>1820</v>
      </c>
      <c r="N807" s="1" t="s">
        <v>60</v>
      </c>
      <c r="O807" s="1" t="s">
        <v>2276</v>
      </c>
    </row>
    <row r="808" spans="1:15" x14ac:dyDescent="0.25">
      <c r="A808">
        <v>1929</v>
      </c>
      <c r="B808" s="1" t="s">
        <v>354</v>
      </c>
      <c r="C808" s="1" t="str">
        <f t="shared" si="12"/>
        <v>Quebec</v>
      </c>
      <c r="D808" s="1" t="s">
        <v>14</v>
      </c>
      <c r="E808" s="5">
        <v>50</v>
      </c>
      <c r="F808" s="1" t="s">
        <v>32</v>
      </c>
      <c r="G808" s="1" t="s">
        <v>225</v>
      </c>
      <c r="H808" t="s">
        <v>2270</v>
      </c>
      <c r="I808" s="1" t="s">
        <v>24</v>
      </c>
      <c r="J808" s="1" t="s">
        <v>25</v>
      </c>
      <c r="K808" s="1" t="s">
        <v>31</v>
      </c>
      <c r="L808" s="1" t="s">
        <v>32</v>
      </c>
      <c r="M808" s="1" t="s">
        <v>1821</v>
      </c>
      <c r="N808" s="1" t="s">
        <v>22</v>
      </c>
      <c r="O808" s="1" t="s">
        <v>2276</v>
      </c>
    </row>
    <row r="809" spans="1:15" x14ac:dyDescent="0.25">
      <c r="A809">
        <v>1930</v>
      </c>
      <c r="B809" s="1" t="s">
        <v>354</v>
      </c>
      <c r="C809" s="1" t="str">
        <f t="shared" si="12"/>
        <v>Quebec</v>
      </c>
      <c r="D809" s="1" t="s">
        <v>73</v>
      </c>
      <c r="E809" s="5">
        <v>48</v>
      </c>
      <c r="F809" s="1" t="s">
        <v>1822</v>
      </c>
      <c r="G809" s="1" t="s">
        <v>114</v>
      </c>
      <c r="H809" t="s">
        <v>2270</v>
      </c>
      <c r="I809" s="1" t="s">
        <v>43</v>
      </c>
      <c r="J809" s="1" t="s">
        <v>25</v>
      </c>
      <c r="K809" s="1" t="s">
        <v>19</v>
      </c>
      <c r="L809" s="1" t="s">
        <v>45</v>
      </c>
      <c r="M809" s="1" t="s">
        <v>1823</v>
      </c>
      <c r="N809" s="1" t="s">
        <v>60</v>
      </c>
      <c r="O809" s="1" t="s">
        <v>2276</v>
      </c>
    </row>
    <row r="810" spans="1:15" x14ac:dyDescent="0.25">
      <c r="A810">
        <v>1931</v>
      </c>
      <c r="B810" s="1" t="s">
        <v>354</v>
      </c>
      <c r="C810" s="1" t="str">
        <f t="shared" si="12"/>
        <v>Quebec</v>
      </c>
      <c r="D810" s="1" t="s">
        <v>73</v>
      </c>
      <c r="E810" s="5">
        <v>57</v>
      </c>
      <c r="F810" s="1" t="s">
        <v>47</v>
      </c>
      <c r="G810" s="1" t="s">
        <v>1824</v>
      </c>
      <c r="H810" t="s">
        <v>2270</v>
      </c>
      <c r="I810" s="1" t="s">
        <v>43</v>
      </c>
      <c r="J810" s="1" t="s">
        <v>44</v>
      </c>
      <c r="K810" s="1" t="s">
        <v>31</v>
      </c>
      <c r="L810" s="1" t="s">
        <v>45</v>
      </c>
      <c r="M810" s="1" t="s">
        <v>1825</v>
      </c>
      <c r="N810" s="1" t="s">
        <v>22</v>
      </c>
      <c r="O810" s="1" t="s">
        <v>2276</v>
      </c>
    </row>
    <row r="811" spans="1:15" x14ac:dyDescent="0.25">
      <c r="A811">
        <v>1934</v>
      </c>
      <c r="B811" s="1" t="s">
        <v>354</v>
      </c>
      <c r="C811" s="1" t="str">
        <f t="shared" si="12"/>
        <v>Quebec</v>
      </c>
      <c r="D811" s="1" t="s">
        <v>73</v>
      </c>
      <c r="E811" s="5">
        <v>41</v>
      </c>
      <c r="F811" s="1" t="s">
        <v>47</v>
      </c>
      <c r="G811" s="1" t="s">
        <v>1826</v>
      </c>
      <c r="H811" t="s">
        <v>2270</v>
      </c>
      <c r="I811" s="1" t="s">
        <v>17</v>
      </c>
      <c r="J811" s="1" t="s">
        <v>25</v>
      </c>
      <c r="K811" s="1" t="s">
        <v>31</v>
      </c>
      <c r="L811" s="1" t="s">
        <v>91</v>
      </c>
      <c r="M811" s="1" t="s">
        <v>1827</v>
      </c>
      <c r="N811" s="1" t="s">
        <v>60</v>
      </c>
      <c r="O811" s="1" t="s">
        <v>2276</v>
      </c>
    </row>
    <row r="812" spans="1:15" x14ac:dyDescent="0.25">
      <c r="A812">
        <v>1936</v>
      </c>
      <c r="B812" s="1" t="s">
        <v>354</v>
      </c>
      <c r="C812" s="1" t="str">
        <f t="shared" si="12"/>
        <v>Quebec</v>
      </c>
      <c r="D812" s="1" t="s">
        <v>73</v>
      </c>
      <c r="E812" s="5">
        <v>65</v>
      </c>
      <c r="F812" s="1" t="s">
        <v>47</v>
      </c>
      <c r="G812" s="1" t="s">
        <v>114</v>
      </c>
      <c r="H812" t="s">
        <v>2270</v>
      </c>
      <c r="I812" s="1" t="s">
        <v>40</v>
      </c>
      <c r="J812" s="1" t="s">
        <v>18</v>
      </c>
      <c r="K812" s="1" t="s">
        <v>31</v>
      </c>
      <c r="L812" s="1" t="s">
        <v>91</v>
      </c>
      <c r="M812" s="1" t="s">
        <v>1828</v>
      </c>
      <c r="N812" s="1" t="s">
        <v>22</v>
      </c>
      <c r="O812" s="1" t="s">
        <v>2276</v>
      </c>
    </row>
    <row r="813" spans="1:15" x14ac:dyDescent="0.25">
      <c r="A813">
        <v>1939</v>
      </c>
      <c r="B813" s="1" t="s">
        <v>354</v>
      </c>
      <c r="C813" s="1" t="str">
        <f t="shared" si="12"/>
        <v>Quebec</v>
      </c>
      <c r="D813" s="1" t="s">
        <v>14</v>
      </c>
      <c r="E813" s="5">
        <v>35</v>
      </c>
      <c r="F813" s="1" t="s">
        <v>1829</v>
      </c>
      <c r="G813" s="1" t="s">
        <v>32</v>
      </c>
      <c r="H813" t="s">
        <v>2271</v>
      </c>
      <c r="I813" s="1" t="s">
        <v>17</v>
      </c>
      <c r="J813" s="1" t="s">
        <v>25</v>
      </c>
      <c r="K813" s="1" t="s">
        <v>19</v>
      </c>
      <c r="L813" s="1" t="s">
        <v>20</v>
      </c>
      <c r="M813" s="1" t="s">
        <v>1830</v>
      </c>
      <c r="N813" s="1" t="s">
        <v>60</v>
      </c>
      <c r="O813" s="1" t="s">
        <v>2276</v>
      </c>
    </row>
    <row r="814" spans="1:15" x14ac:dyDescent="0.25">
      <c r="A814">
        <v>1940</v>
      </c>
      <c r="B814" s="1" t="s">
        <v>354</v>
      </c>
      <c r="C814" s="1" t="str">
        <f t="shared" si="12"/>
        <v>Quebec</v>
      </c>
      <c r="D814" s="1" t="s">
        <v>73</v>
      </c>
      <c r="E814" s="5">
        <v>43</v>
      </c>
      <c r="F814" s="1" t="s">
        <v>1831</v>
      </c>
      <c r="G814" s="1" t="s">
        <v>32</v>
      </c>
      <c r="H814" t="s">
        <v>2270</v>
      </c>
      <c r="I814" s="1" t="s">
        <v>17</v>
      </c>
      <c r="J814" s="1" t="s">
        <v>44</v>
      </c>
      <c r="K814" s="1" t="s">
        <v>31</v>
      </c>
      <c r="L814" s="1" t="s">
        <v>32</v>
      </c>
      <c r="M814" s="1" t="s">
        <v>1832</v>
      </c>
      <c r="N814" s="1" t="s">
        <v>22</v>
      </c>
      <c r="O814" s="1" t="s">
        <v>2276</v>
      </c>
    </row>
    <row r="815" spans="1:15" x14ac:dyDescent="0.25">
      <c r="A815">
        <v>1941</v>
      </c>
      <c r="B815" s="1" t="s">
        <v>354</v>
      </c>
      <c r="C815" s="1" t="str">
        <f t="shared" si="12"/>
        <v>Quebec</v>
      </c>
      <c r="D815" s="1" t="s">
        <v>73</v>
      </c>
      <c r="E815" s="5">
        <v>50</v>
      </c>
      <c r="F815" s="1" t="s">
        <v>1833</v>
      </c>
      <c r="G815" s="1" t="s">
        <v>114</v>
      </c>
      <c r="H815" t="s">
        <v>2270</v>
      </c>
      <c r="I815" s="1" t="s">
        <v>43</v>
      </c>
      <c r="J815" s="1" t="s">
        <v>25</v>
      </c>
      <c r="K815" s="1" t="s">
        <v>31</v>
      </c>
      <c r="L815" s="1" t="s">
        <v>20</v>
      </c>
      <c r="M815" s="1" t="s">
        <v>1834</v>
      </c>
      <c r="N815" s="1" t="s">
        <v>22</v>
      </c>
      <c r="O815" s="1" t="s">
        <v>2276</v>
      </c>
    </row>
    <row r="816" spans="1:15" x14ac:dyDescent="0.25">
      <c r="A816">
        <v>1942</v>
      </c>
      <c r="B816" s="1" t="s">
        <v>27</v>
      </c>
      <c r="C816" s="1" t="str">
        <f t="shared" si="12"/>
        <v>Ontario</v>
      </c>
      <c r="D816" s="1" t="s">
        <v>73</v>
      </c>
      <c r="E816" s="5">
        <v>42.8</v>
      </c>
      <c r="F816" s="1" t="s">
        <v>32</v>
      </c>
      <c r="G816" s="1" t="s">
        <v>32</v>
      </c>
      <c r="H816" t="s">
        <v>2271</v>
      </c>
      <c r="I816" s="1" t="s">
        <v>32</v>
      </c>
      <c r="J816" s="1" t="s">
        <v>25</v>
      </c>
      <c r="K816" s="1" t="s">
        <v>31</v>
      </c>
      <c r="L816" s="1" t="s">
        <v>20</v>
      </c>
      <c r="M816" s="1" t="s">
        <v>1835</v>
      </c>
      <c r="N816" s="1" t="s">
        <v>22</v>
      </c>
      <c r="O816" s="1" t="s">
        <v>2275</v>
      </c>
    </row>
    <row r="817" spans="1:15" x14ac:dyDescent="0.25">
      <c r="A817">
        <v>1944</v>
      </c>
      <c r="B817" s="1" t="s">
        <v>354</v>
      </c>
      <c r="C817" s="1" t="str">
        <f t="shared" si="12"/>
        <v>Quebec</v>
      </c>
      <c r="D817" s="1" t="s">
        <v>28</v>
      </c>
      <c r="E817" s="5">
        <v>64</v>
      </c>
      <c r="F817" s="1" t="s">
        <v>32</v>
      </c>
      <c r="G817" s="1" t="s">
        <v>1836</v>
      </c>
      <c r="H817" t="s">
        <v>2270</v>
      </c>
      <c r="I817" s="1" t="s">
        <v>40</v>
      </c>
      <c r="J817" s="1" t="s">
        <v>1837</v>
      </c>
      <c r="K817" s="1" t="s">
        <v>31</v>
      </c>
      <c r="L817" s="1" t="s">
        <v>91</v>
      </c>
      <c r="M817" s="1" t="s">
        <v>1838</v>
      </c>
      <c r="N817" s="1" t="s">
        <v>22</v>
      </c>
      <c r="O817" s="1" t="s">
        <v>2276</v>
      </c>
    </row>
    <row r="818" spans="1:15" x14ac:dyDescent="0.25">
      <c r="A818">
        <v>1945</v>
      </c>
      <c r="B818" s="1" t="s">
        <v>354</v>
      </c>
      <c r="C818" s="1" t="str">
        <f t="shared" si="12"/>
        <v>Quebec</v>
      </c>
      <c r="D818" s="1" t="s">
        <v>28</v>
      </c>
      <c r="E818" s="5">
        <v>80</v>
      </c>
      <c r="F818" s="1" t="s">
        <v>1839</v>
      </c>
      <c r="G818" s="1" t="s">
        <v>1840</v>
      </c>
      <c r="H818" t="s">
        <v>2270</v>
      </c>
      <c r="I818" s="1" t="s">
        <v>40</v>
      </c>
      <c r="J818" s="1" t="s">
        <v>1837</v>
      </c>
      <c r="K818" s="1" t="s">
        <v>31</v>
      </c>
      <c r="L818" s="1" t="s">
        <v>91</v>
      </c>
      <c r="M818" s="1" t="s">
        <v>1841</v>
      </c>
      <c r="N818" s="1" t="s">
        <v>22</v>
      </c>
      <c r="O818" s="1" t="s">
        <v>2276</v>
      </c>
    </row>
    <row r="819" spans="1:15" x14ac:dyDescent="0.25">
      <c r="A819">
        <v>1950</v>
      </c>
      <c r="B819" s="1" t="s">
        <v>354</v>
      </c>
      <c r="C819" s="1" t="str">
        <f t="shared" si="12"/>
        <v>Quebec</v>
      </c>
      <c r="D819" s="1" t="s">
        <v>28</v>
      </c>
      <c r="E819" s="5">
        <v>48</v>
      </c>
      <c r="F819" s="1" t="s">
        <v>32</v>
      </c>
      <c r="G819" s="1" t="s">
        <v>1842</v>
      </c>
      <c r="H819" t="s">
        <v>2270</v>
      </c>
      <c r="I819" s="1" t="s">
        <v>43</v>
      </c>
      <c r="J819" s="1" t="s">
        <v>232</v>
      </c>
      <c r="K819" s="1" t="s">
        <v>31</v>
      </c>
      <c r="L819" s="1" t="s">
        <v>91</v>
      </c>
      <c r="M819" s="1" t="s">
        <v>1843</v>
      </c>
      <c r="N819" s="1" t="s">
        <v>60</v>
      </c>
      <c r="O819" s="1" t="s">
        <v>2276</v>
      </c>
    </row>
    <row r="820" spans="1:15" x14ac:dyDescent="0.25">
      <c r="A820">
        <v>1951</v>
      </c>
      <c r="B820" s="1" t="s">
        <v>354</v>
      </c>
      <c r="C820" s="1" t="str">
        <f t="shared" si="12"/>
        <v>Quebec</v>
      </c>
      <c r="D820" s="1" t="s">
        <v>28</v>
      </c>
      <c r="E820" s="5">
        <v>70</v>
      </c>
      <c r="F820" s="1" t="s">
        <v>1844</v>
      </c>
      <c r="G820" s="1" t="s">
        <v>1845</v>
      </c>
      <c r="H820" t="s">
        <v>2270</v>
      </c>
      <c r="I820" s="1" t="s">
        <v>40</v>
      </c>
      <c r="J820" s="1" t="s">
        <v>44</v>
      </c>
      <c r="K820" s="1" t="s">
        <v>31</v>
      </c>
      <c r="L820" s="1" t="s">
        <v>91</v>
      </c>
      <c r="M820" s="1" t="s">
        <v>1846</v>
      </c>
      <c r="N820" s="1" t="s">
        <v>22</v>
      </c>
      <c r="O820" s="1" t="s">
        <v>2276</v>
      </c>
    </row>
    <row r="821" spans="1:15" x14ac:dyDescent="0.25">
      <c r="A821">
        <v>1952</v>
      </c>
      <c r="B821" s="1" t="s">
        <v>354</v>
      </c>
      <c r="C821" s="1" t="str">
        <f t="shared" si="12"/>
        <v>Quebec</v>
      </c>
      <c r="D821" s="1" t="s">
        <v>28</v>
      </c>
      <c r="E821" s="5">
        <v>50</v>
      </c>
      <c r="F821" s="1" t="s">
        <v>1847</v>
      </c>
      <c r="G821" s="1" t="s">
        <v>32</v>
      </c>
      <c r="H821" t="s">
        <v>2270</v>
      </c>
      <c r="I821" s="1" t="s">
        <v>43</v>
      </c>
      <c r="J821" s="1" t="s">
        <v>25</v>
      </c>
      <c r="K821" s="1" t="s">
        <v>31</v>
      </c>
      <c r="L821" s="1" t="s">
        <v>45</v>
      </c>
      <c r="M821" s="1" t="s">
        <v>1848</v>
      </c>
      <c r="N821" s="1" t="s">
        <v>60</v>
      </c>
      <c r="O821" s="1" t="s">
        <v>2276</v>
      </c>
    </row>
    <row r="822" spans="1:15" x14ac:dyDescent="0.25">
      <c r="A822">
        <v>1954</v>
      </c>
      <c r="B822" s="1" t="s">
        <v>354</v>
      </c>
      <c r="C822" s="1" t="str">
        <f t="shared" si="12"/>
        <v>Quebec</v>
      </c>
      <c r="D822" s="1" t="s">
        <v>28</v>
      </c>
      <c r="E822" s="5">
        <v>45</v>
      </c>
      <c r="F822" s="1" t="s">
        <v>1849</v>
      </c>
      <c r="G822" s="1" t="s">
        <v>1850</v>
      </c>
      <c r="H822" t="s">
        <v>2270</v>
      </c>
      <c r="I822" s="1" t="s">
        <v>17</v>
      </c>
      <c r="J822" s="1" t="s">
        <v>25</v>
      </c>
      <c r="K822" s="1" t="s">
        <v>31</v>
      </c>
      <c r="L822" s="1" t="s">
        <v>32</v>
      </c>
      <c r="M822" s="1" t="s">
        <v>1851</v>
      </c>
      <c r="N822" s="1" t="s">
        <v>22</v>
      </c>
      <c r="O822" s="1" t="s">
        <v>2276</v>
      </c>
    </row>
    <row r="823" spans="1:15" x14ac:dyDescent="0.25">
      <c r="A823">
        <v>1956</v>
      </c>
      <c r="B823" s="1" t="s">
        <v>354</v>
      </c>
      <c r="C823" s="1" t="str">
        <f t="shared" si="12"/>
        <v>Quebec</v>
      </c>
      <c r="D823" s="1" t="s">
        <v>28</v>
      </c>
      <c r="E823" s="5">
        <v>55</v>
      </c>
      <c r="F823" s="1" t="s">
        <v>1852</v>
      </c>
      <c r="G823" s="1" t="s">
        <v>1853</v>
      </c>
      <c r="H823" t="s">
        <v>2270</v>
      </c>
      <c r="I823" s="1" t="s">
        <v>43</v>
      </c>
      <c r="J823" s="1" t="s">
        <v>44</v>
      </c>
      <c r="K823" s="1" t="s">
        <v>31</v>
      </c>
      <c r="L823" s="1" t="s">
        <v>91</v>
      </c>
      <c r="M823" s="1" t="s">
        <v>1854</v>
      </c>
      <c r="N823" s="1" t="s">
        <v>22</v>
      </c>
      <c r="O823" s="1" t="s">
        <v>2276</v>
      </c>
    </row>
    <row r="824" spans="1:15" x14ac:dyDescent="0.25">
      <c r="A824">
        <v>1957</v>
      </c>
      <c r="B824" s="1" t="s">
        <v>354</v>
      </c>
      <c r="C824" s="1" t="str">
        <f t="shared" si="12"/>
        <v>Quebec</v>
      </c>
      <c r="D824" s="1" t="s">
        <v>28</v>
      </c>
      <c r="E824" s="5">
        <v>23</v>
      </c>
      <c r="F824" s="1" t="s">
        <v>1855</v>
      </c>
      <c r="G824" s="1" t="s">
        <v>1856</v>
      </c>
      <c r="H824" t="s">
        <v>2270</v>
      </c>
      <c r="I824" s="1" t="s">
        <v>43</v>
      </c>
      <c r="J824" s="1" t="s">
        <v>18</v>
      </c>
      <c r="K824" s="1" t="s">
        <v>31</v>
      </c>
      <c r="L824" s="1" t="s">
        <v>91</v>
      </c>
      <c r="M824" s="1" t="s">
        <v>1857</v>
      </c>
      <c r="N824" s="1" t="s">
        <v>60</v>
      </c>
      <c r="O824" s="1" t="s">
        <v>2276</v>
      </c>
    </row>
    <row r="825" spans="1:15" x14ac:dyDescent="0.25">
      <c r="A825">
        <v>1958</v>
      </c>
      <c r="B825" s="1" t="s">
        <v>354</v>
      </c>
      <c r="C825" s="1" t="str">
        <f t="shared" si="12"/>
        <v>Quebec</v>
      </c>
      <c r="D825" s="1" t="s">
        <v>28</v>
      </c>
      <c r="E825" s="5">
        <v>52</v>
      </c>
      <c r="F825" s="1" t="s">
        <v>1858</v>
      </c>
      <c r="G825" s="1" t="s">
        <v>1859</v>
      </c>
      <c r="H825" t="s">
        <v>2270</v>
      </c>
      <c r="I825" s="1" t="s">
        <v>40</v>
      </c>
      <c r="J825" s="1" t="s">
        <v>25</v>
      </c>
      <c r="K825" s="1" t="s">
        <v>31</v>
      </c>
      <c r="L825" s="1" t="s">
        <v>91</v>
      </c>
      <c r="M825" s="1" t="s">
        <v>1860</v>
      </c>
      <c r="N825" s="1" t="s">
        <v>22</v>
      </c>
      <c r="O825" s="1" t="s">
        <v>2276</v>
      </c>
    </row>
    <row r="826" spans="1:15" x14ac:dyDescent="0.25">
      <c r="A826">
        <v>1959</v>
      </c>
      <c r="B826" s="1" t="s">
        <v>354</v>
      </c>
      <c r="C826" s="1" t="str">
        <f t="shared" si="12"/>
        <v>Quebec</v>
      </c>
      <c r="D826" s="1" t="s">
        <v>28</v>
      </c>
      <c r="E826" s="5">
        <v>20</v>
      </c>
      <c r="F826" s="1" t="s">
        <v>1861</v>
      </c>
      <c r="G826" s="1" t="s">
        <v>1862</v>
      </c>
      <c r="H826" t="s">
        <v>2270</v>
      </c>
      <c r="I826" s="1" t="s">
        <v>43</v>
      </c>
      <c r="J826" s="1" t="s">
        <v>25</v>
      </c>
      <c r="K826" s="1" t="s">
        <v>31</v>
      </c>
      <c r="L826" s="1" t="s">
        <v>20</v>
      </c>
      <c r="M826" s="1" t="s">
        <v>1863</v>
      </c>
      <c r="N826" s="1" t="s">
        <v>60</v>
      </c>
      <c r="O826" s="1" t="s">
        <v>2276</v>
      </c>
    </row>
    <row r="827" spans="1:15" x14ac:dyDescent="0.25">
      <c r="A827">
        <v>1960</v>
      </c>
      <c r="B827" s="1" t="s">
        <v>354</v>
      </c>
      <c r="C827" s="1" t="str">
        <f t="shared" si="12"/>
        <v>Quebec</v>
      </c>
      <c r="D827" s="1" t="s">
        <v>28</v>
      </c>
      <c r="E827" s="5">
        <v>52</v>
      </c>
      <c r="F827" s="1" t="s">
        <v>1864</v>
      </c>
      <c r="G827" s="1" t="s">
        <v>1865</v>
      </c>
      <c r="H827" t="s">
        <v>2270</v>
      </c>
      <c r="I827" s="1" t="s">
        <v>43</v>
      </c>
      <c r="J827" s="1" t="s">
        <v>25</v>
      </c>
      <c r="K827" s="1" t="s">
        <v>31</v>
      </c>
      <c r="L827" s="1" t="s">
        <v>32</v>
      </c>
      <c r="M827" s="1" t="s">
        <v>1866</v>
      </c>
      <c r="N827" s="1" t="s">
        <v>60</v>
      </c>
      <c r="O827" s="1" t="s">
        <v>2276</v>
      </c>
    </row>
    <row r="828" spans="1:15" x14ac:dyDescent="0.25">
      <c r="A828">
        <v>1961</v>
      </c>
      <c r="B828" s="1" t="s">
        <v>354</v>
      </c>
      <c r="C828" s="1" t="str">
        <f t="shared" si="12"/>
        <v>Quebec</v>
      </c>
      <c r="D828" s="1" t="s">
        <v>28</v>
      </c>
      <c r="E828" s="5">
        <v>45</v>
      </c>
      <c r="F828" s="1" t="s">
        <v>164</v>
      </c>
      <c r="G828" s="1" t="s">
        <v>1867</v>
      </c>
      <c r="H828" t="s">
        <v>2270</v>
      </c>
      <c r="I828" s="1" t="s">
        <v>35</v>
      </c>
      <c r="J828" s="1" t="s">
        <v>25</v>
      </c>
      <c r="K828" s="1" t="s">
        <v>19</v>
      </c>
      <c r="L828" s="1" t="s">
        <v>45</v>
      </c>
      <c r="M828" s="1" t="s">
        <v>1868</v>
      </c>
      <c r="N828" s="1" t="s">
        <v>60</v>
      </c>
      <c r="O828" s="1" t="s">
        <v>2276</v>
      </c>
    </row>
    <row r="829" spans="1:15" x14ac:dyDescent="0.25">
      <c r="A829">
        <v>1962</v>
      </c>
      <c r="B829" s="1" t="s">
        <v>354</v>
      </c>
      <c r="C829" s="1" t="str">
        <f t="shared" si="12"/>
        <v>Quebec</v>
      </c>
      <c r="D829" s="1" t="s">
        <v>28</v>
      </c>
      <c r="E829" s="5">
        <v>37</v>
      </c>
      <c r="F829" s="1" t="s">
        <v>1869</v>
      </c>
      <c r="G829" s="1" t="s">
        <v>1870</v>
      </c>
      <c r="H829" t="s">
        <v>2270</v>
      </c>
      <c r="I829" s="1" t="s">
        <v>35</v>
      </c>
      <c r="J829" s="1" t="s">
        <v>25</v>
      </c>
      <c r="K829" s="1" t="s">
        <v>31</v>
      </c>
      <c r="L829" s="1" t="s">
        <v>32</v>
      </c>
      <c r="M829" s="1" t="s">
        <v>1871</v>
      </c>
      <c r="N829" s="1" t="s">
        <v>60</v>
      </c>
      <c r="O829" s="1" t="s">
        <v>2276</v>
      </c>
    </row>
    <row r="830" spans="1:15" x14ac:dyDescent="0.25">
      <c r="A830">
        <v>1963</v>
      </c>
      <c r="B830" s="1" t="s">
        <v>354</v>
      </c>
      <c r="C830" s="1" t="str">
        <f t="shared" si="12"/>
        <v>Quebec</v>
      </c>
      <c r="D830" s="1" t="s">
        <v>28</v>
      </c>
      <c r="E830" s="5">
        <v>48</v>
      </c>
      <c r="F830" s="1" t="s">
        <v>1872</v>
      </c>
      <c r="G830" s="1" t="s">
        <v>1873</v>
      </c>
      <c r="H830" t="s">
        <v>2270</v>
      </c>
      <c r="I830" s="1" t="s">
        <v>35</v>
      </c>
      <c r="J830" s="1" t="s">
        <v>25</v>
      </c>
      <c r="K830" s="1" t="s">
        <v>31</v>
      </c>
      <c r="L830" s="1" t="s">
        <v>32</v>
      </c>
      <c r="M830" s="1" t="s">
        <v>1874</v>
      </c>
      <c r="N830" s="1" t="s">
        <v>22</v>
      </c>
      <c r="O830" s="1" t="s">
        <v>2276</v>
      </c>
    </row>
    <row r="831" spans="1:15" x14ac:dyDescent="0.25">
      <c r="A831">
        <v>1964</v>
      </c>
      <c r="B831" s="1" t="s">
        <v>354</v>
      </c>
      <c r="C831" s="1" t="str">
        <f t="shared" si="12"/>
        <v>Quebec</v>
      </c>
      <c r="D831" s="1" t="s">
        <v>28</v>
      </c>
      <c r="E831" s="5">
        <v>40</v>
      </c>
      <c r="F831" s="1" t="s">
        <v>1875</v>
      </c>
      <c r="G831" s="1" t="s">
        <v>1876</v>
      </c>
      <c r="H831" t="s">
        <v>2270</v>
      </c>
      <c r="I831" s="1" t="s">
        <v>17</v>
      </c>
      <c r="J831" s="1" t="s">
        <v>25</v>
      </c>
      <c r="K831" s="1" t="s">
        <v>31</v>
      </c>
      <c r="L831" s="1" t="s">
        <v>91</v>
      </c>
      <c r="M831" s="1" t="s">
        <v>1877</v>
      </c>
      <c r="N831" s="1" t="s">
        <v>22</v>
      </c>
      <c r="O831" s="1" t="s">
        <v>2276</v>
      </c>
    </row>
    <row r="832" spans="1:15" x14ac:dyDescent="0.25">
      <c r="A832">
        <v>1965</v>
      </c>
      <c r="B832" s="1" t="s">
        <v>354</v>
      </c>
      <c r="C832" s="1" t="str">
        <f t="shared" si="12"/>
        <v>Quebec</v>
      </c>
      <c r="D832" s="1" t="s">
        <v>28</v>
      </c>
      <c r="E832" s="5">
        <v>39</v>
      </c>
      <c r="F832" s="1" t="s">
        <v>1878</v>
      </c>
      <c r="G832" s="1" t="s">
        <v>1879</v>
      </c>
      <c r="H832" t="s">
        <v>2270</v>
      </c>
      <c r="I832" s="1" t="s">
        <v>17</v>
      </c>
      <c r="J832" s="1" t="s">
        <v>25</v>
      </c>
      <c r="K832" s="1" t="s">
        <v>31</v>
      </c>
      <c r="L832" s="1" t="s">
        <v>20</v>
      </c>
      <c r="M832" s="1" t="s">
        <v>1880</v>
      </c>
      <c r="N832" s="1" t="s">
        <v>60</v>
      </c>
      <c r="O832" s="1" t="s">
        <v>2276</v>
      </c>
    </row>
    <row r="833" spans="1:15" x14ac:dyDescent="0.25">
      <c r="A833">
        <v>1966</v>
      </c>
      <c r="B833" s="1" t="s">
        <v>354</v>
      </c>
      <c r="C833" s="1" t="str">
        <f t="shared" si="12"/>
        <v>Quebec</v>
      </c>
      <c r="D833" s="1" t="s">
        <v>14</v>
      </c>
      <c r="E833" s="5">
        <v>52</v>
      </c>
      <c r="F833" s="1" t="s">
        <v>1881</v>
      </c>
      <c r="G833" s="1" t="s">
        <v>1882</v>
      </c>
      <c r="H833" t="s">
        <v>2271</v>
      </c>
      <c r="I833" s="1" t="s">
        <v>43</v>
      </c>
      <c r="J833" s="1" t="s">
        <v>25</v>
      </c>
      <c r="K833" s="1" t="s">
        <v>31</v>
      </c>
      <c r="L833" s="1" t="s">
        <v>45</v>
      </c>
      <c r="M833" s="1" t="s">
        <v>1883</v>
      </c>
      <c r="N833" s="1" t="s">
        <v>22</v>
      </c>
      <c r="O833" s="1" t="s">
        <v>2276</v>
      </c>
    </row>
    <row r="834" spans="1:15" x14ac:dyDescent="0.25">
      <c r="A834">
        <v>1967</v>
      </c>
      <c r="B834" s="1" t="s">
        <v>354</v>
      </c>
      <c r="C834" s="1" t="str">
        <f t="shared" ref="C834:C897" si="13">IF(B834="NB","New Brunswick",IF(B834="AB","Alberta",IF(B834="BC","British Columbia",IF(B834="MB","Manitoba",IF(B834="NL","Newfoundland and Labrador",IF(B834="NS","Nova Scotia",IF(B834="ON","Ontario",IF(B834="PE","Prince Edward Island",IF(B834="QC","Quebec",IF(B834="SK","Saskatchewan",""))))))))))</f>
        <v>Quebec</v>
      </c>
      <c r="D834" s="1" t="s">
        <v>14</v>
      </c>
      <c r="E834" s="5">
        <v>50</v>
      </c>
      <c r="F834" s="1" t="s">
        <v>1884</v>
      </c>
      <c r="G834" s="1" t="s">
        <v>1885</v>
      </c>
      <c r="H834" t="s">
        <v>2271</v>
      </c>
      <c r="I834" s="1" t="s">
        <v>43</v>
      </c>
      <c r="J834" s="1" t="s">
        <v>25</v>
      </c>
      <c r="K834" s="1" t="s">
        <v>31</v>
      </c>
      <c r="L834" s="1" t="s">
        <v>45</v>
      </c>
      <c r="M834" s="1" t="s">
        <v>1886</v>
      </c>
      <c r="N834" s="1" t="s">
        <v>60</v>
      </c>
      <c r="O834" s="1" t="s">
        <v>2276</v>
      </c>
    </row>
    <row r="835" spans="1:15" x14ac:dyDescent="0.25">
      <c r="A835">
        <v>1974</v>
      </c>
      <c r="B835" s="1" t="s">
        <v>27</v>
      </c>
      <c r="C835" s="1" t="str">
        <f t="shared" si="13"/>
        <v>Ontario</v>
      </c>
      <c r="D835" s="1" t="s">
        <v>28</v>
      </c>
      <c r="E835" s="5">
        <v>38</v>
      </c>
      <c r="F835" s="1" t="s">
        <v>1887</v>
      </c>
      <c r="G835" s="1" t="s">
        <v>1888</v>
      </c>
      <c r="H835" t="s">
        <v>2270</v>
      </c>
      <c r="I835" s="1" t="s">
        <v>32</v>
      </c>
      <c r="J835" s="1" t="s">
        <v>25</v>
      </c>
      <c r="K835" s="1" t="s">
        <v>31</v>
      </c>
      <c r="L835" s="1" t="s">
        <v>32</v>
      </c>
      <c r="M835" s="1" t="s">
        <v>1889</v>
      </c>
      <c r="N835" s="1" t="s">
        <v>60</v>
      </c>
      <c r="O835" s="1" t="s">
        <v>2275</v>
      </c>
    </row>
    <row r="836" spans="1:15" x14ac:dyDescent="0.25">
      <c r="A836">
        <v>1975</v>
      </c>
      <c r="B836" s="1" t="s">
        <v>27</v>
      </c>
      <c r="C836" s="1" t="str">
        <f t="shared" si="13"/>
        <v>Ontario</v>
      </c>
      <c r="D836" s="1" t="s">
        <v>28</v>
      </c>
      <c r="E836" s="5">
        <v>42</v>
      </c>
      <c r="F836" s="1" t="s">
        <v>1890</v>
      </c>
      <c r="G836" s="1" t="s">
        <v>1891</v>
      </c>
      <c r="H836" t="s">
        <v>2270</v>
      </c>
      <c r="I836" s="1" t="s">
        <v>35</v>
      </c>
      <c r="J836" s="1" t="s">
        <v>25</v>
      </c>
      <c r="K836" s="1" t="s">
        <v>31</v>
      </c>
      <c r="L836" s="1" t="s">
        <v>32</v>
      </c>
      <c r="M836" s="1" t="s">
        <v>1892</v>
      </c>
      <c r="N836" s="1" t="s">
        <v>22</v>
      </c>
      <c r="O836" s="1" t="s">
        <v>2275</v>
      </c>
    </row>
    <row r="837" spans="1:15" x14ac:dyDescent="0.25">
      <c r="A837">
        <v>1976</v>
      </c>
      <c r="B837" s="1" t="s">
        <v>27</v>
      </c>
      <c r="C837" s="1" t="str">
        <f t="shared" si="13"/>
        <v>Ontario</v>
      </c>
      <c r="D837" s="1" t="s">
        <v>28</v>
      </c>
      <c r="E837" s="5">
        <v>42</v>
      </c>
      <c r="F837" s="1" t="s">
        <v>1893</v>
      </c>
      <c r="G837" s="1" t="s">
        <v>1894</v>
      </c>
      <c r="H837" t="s">
        <v>2270</v>
      </c>
      <c r="I837" s="1" t="s">
        <v>35</v>
      </c>
      <c r="J837" s="1" t="s">
        <v>44</v>
      </c>
      <c r="K837" s="1" t="s">
        <v>31</v>
      </c>
      <c r="L837" s="1" t="s">
        <v>32</v>
      </c>
      <c r="M837" s="1" t="s">
        <v>1895</v>
      </c>
      <c r="N837" s="1" t="s">
        <v>22</v>
      </c>
      <c r="O837" s="1" t="s">
        <v>2275</v>
      </c>
    </row>
    <row r="838" spans="1:15" x14ac:dyDescent="0.25">
      <c r="A838">
        <v>1977</v>
      </c>
      <c r="B838" s="1" t="s">
        <v>27</v>
      </c>
      <c r="C838" s="1" t="str">
        <f t="shared" si="13"/>
        <v>Ontario</v>
      </c>
      <c r="D838" s="1" t="s">
        <v>28</v>
      </c>
      <c r="E838" s="5">
        <v>37</v>
      </c>
      <c r="F838" s="1" t="s">
        <v>1896</v>
      </c>
      <c r="G838" s="1" t="s">
        <v>1897</v>
      </c>
      <c r="H838" t="s">
        <v>2270</v>
      </c>
      <c r="I838" s="1" t="s">
        <v>64</v>
      </c>
      <c r="J838" s="1" t="s">
        <v>44</v>
      </c>
      <c r="K838" s="1" t="s">
        <v>32</v>
      </c>
      <c r="L838" s="1" t="s">
        <v>32</v>
      </c>
      <c r="M838" s="1" t="s">
        <v>1898</v>
      </c>
      <c r="N838" s="1" t="s">
        <v>60</v>
      </c>
      <c r="O838" s="1" t="s">
        <v>2275</v>
      </c>
    </row>
    <row r="839" spans="1:15" x14ac:dyDescent="0.25">
      <c r="A839">
        <v>1978</v>
      </c>
      <c r="B839" s="1" t="s">
        <v>27</v>
      </c>
      <c r="C839" s="1" t="str">
        <f t="shared" si="13"/>
        <v>Ontario</v>
      </c>
      <c r="D839" s="1" t="s">
        <v>28</v>
      </c>
      <c r="E839" s="5">
        <v>46</v>
      </c>
      <c r="F839" s="1" t="s">
        <v>1899</v>
      </c>
      <c r="G839" s="1" t="s">
        <v>1900</v>
      </c>
      <c r="H839" t="s">
        <v>2270</v>
      </c>
      <c r="I839" s="1" t="s">
        <v>43</v>
      </c>
      <c r="J839" s="1" t="s">
        <v>25</v>
      </c>
      <c r="K839" s="1" t="s">
        <v>32</v>
      </c>
      <c r="L839" s="1" t="s">
        <v>45</v>
      </c>
      <c r="M839" s="1" t="s">
        <v>1901</v>
      </c>
      <c r="N839" s="1" t="s">
        <v>22</v>
      </c>
      <c r="O839" s="1" t="s">
        <v>2275</v>
      </c>
    </row>
    <row r="840" spans="1:15" x14ac:dyDescent="0.25">
      <c r="A840">
        <v>1979</v>
      </c>
      <c r="B840" s="1" t="s">
        <v>27</v>
      </c>
      <c r="C840" s="1" t="str">
        <f t="shared" si="13"/>
        <v>Ontario</v>
      </c>
      <c r="D840" s="1" t="s">
        <v>28</v>
      </c>
      <c r="E840" s="5">
        <v>40</v>
      </c>
      <c r="F840" s="1" t="s">
        <v>1902</v>
      </c>
      <c r="G840" s="1" t="s">
        <v>1903</v>
      </c>
      <c r="H840" t="s">
        <v>2270</v>
      </c>
      <c r="I840" s="1" t="s">
        <v>43</v>
      </c>
      <c r="J840" s="1" t="s">
        <v>25</v>
      </c>
      <c r="K840" s="1" t="s">
        <v>32</v>
      </c>
      <c r="L840" s="1" t="s">
        <v>32</v>
      </c>
      <c r="M840" s="1" t="s">
        <v>1904</v>
      </c>
      <c r="N840" s="1" t="s">
        <v>22</v>
      </c>
      <c r="O840" s="1" t="s">
        <v>2275</v>
      </c>
    </row>
    <row r="841" spans="1:15" x14ac:dyDescent="0.25">
      <c r="A841">
        <v>1981</v>
      </c>
      <c r="B841" s="1" t="s">
        <v>27</v>
      </c>
      <c r="C841" s="1" t="str">
        <f t="shared" si="13"/>
        <v>Ontario</v>
      </c>
      <c r="D841" s="1" t="s">
        <v>14</v>
      </c>
      <c r="E841" s="5">
        <v>65</v>
      </c>
      <c r="F841" s="1" t="s">
        <v>1905</v>
      </c>
      <c r="G841" s="1" t="s">
        <v>1906</v>
      </c>
      <c r="H841" t="s">
        <v>2270</v>
      </c>
      <c r="I841" s="1" t="s">
        <v>43</v>
      </c>
      <c r="J841" s="1" t="s">
        <v>44</v>
      </c>
      <c r="K841" s="1" t="s">
        <v>31</v>
      </c>
      <c r="L841" s="1" t="s">
        <v>91</v>
      </c>
      <c r="M841" s="1" t="s">
        <v>1907</v>
      </c>
      <c r="N841" s="1" t="s">
        <v>22</v>
      </c>
      <c r="O841" s="1" t="s">
        <v>2275</v>
      </c>
    </row>
    <row r="842" spans="1:15" x14ac:dyDescent="0.25">
      <c r="A842">
        <v>1982</v>
      </c>
      <c r="B842" s="1" t="s">
        <v>27</v>
      </c>
      <c r="C842" s="1" t="str">
        <f t="shared" si="13"/>
        <v>Ontario</v>
      </c>
      <c r="D842" s="1" t="s">
        <v>14</v>
      </c>
      <c r="E842" s="5">
        <v>46</v>
      </c>
      <c r="F842" s="1" t="s">
        <v>1908</v>
      </c>
      <c r="G842" s="1" t="s">
        <v>32</v>
      </c>
      <c r="H842" t="s">
        <v>2270</v>
      </c>
      <c r="I842" s="1" t="s">
        <v>17</v>
      </c>
      <c r="J842" s="1" t="s">
        <v>44</v>
      </c>
      <c r="K842" s="1" t="s">
        <v>31</v>
      </c>
      <c r="L842" s="1" t="s">
        <v>91</v>
      </c>
      <c r="M842" s="1" t="s">
        <v>1909</v>
      </c>
      <c r="N842" s="1" t="s">
        <v>22</v>
      </c>
      <c r="O842" s="1" t="s">
        <v>2275</v>
      </c>
    </row>
    <row r="843" spans="1:15" x14ac:dyDescent="0.25">
      <c r="A843">
        <v>1983</v>
      </c>
      <c r="B843" s="1" t="s">
        <v>27</v>
      </c>
      <c r="C843" s="1" t="str">
        <f t="shared" si="13"/>
        <v>Ontario</v>
      </c>
      <c r="D843" s="1" t="s">
        <v>14</v>
      </c>
      <c r="E843" s="5">
        <v>40</v>
      </c>
      <c r="F843" s="1" t="s">
        <v>32</v>
      </c>
      <c r="G843" s="1" t="s">
        <v>32</v>
      </c>
      <c r="H843" t="s">
        <v>2270</v>
      </c>
      <c r="I843" s="1" t="s">
        <v>64</v>
      </c>
      <c r="J843" s="1" t="s">
        <v>44</v>
      </c>
      <c r="K843" s="1" t="s">
        <v>31</v>
      </c>
      <c r="L843" s="1" t="s">
        <v>91</v>
      </c>
      <c r="M843" s="1" t="s">
        <v>1910</v>
      </c>
      <c r="N843" s="1" t="s">
        <v>60</v>
      </c>
      <c r="O843" s="1" t="s">
        <v>2275</v>
      </c>
    </row>
    <row r="844" spans="1:15" x14ac:dyDescent="0.25">
      <c r="A844">
        <v>1992</v>
      </c>
      <c r="B844" s="1" t="s">
        <v>354</v>
      </c>
      <c r="C844" s="1" t="str">
        <f t="shared" si="13"/>
        <v>Quebec</v>
      </c>
      <c r="D844" s="1" t="s">
        <v>14</v>
      </c>
      <c r="E844" s="5">
        <v>46</v>
      </c>
      <c r="F844" s="1" t="s">
        <v>1911</v>
      </c>
      <c r="G844" s="1" t="s">
        <v>32</v>
      </c>
      <c r="H844" t="s">
        <v>2270</v>
      </c>
      <c r="I844" s="1" t="s">
        <v>24</v>
      </c>
      <c r="J844" s="1" t="s">
        <v>25</v>
      </c>
      <c r="K844" s="1" t="s">
        <v>107</v>
      </c>
      <c r="L844" s="1" t="s">
        <v>20</v>
      </c>
      <c r="M844" s="1" t="s">
        <v>1912</v>
      </c>
      <c r="N844" s="1" t="s">
        <v>22</v>
      </c>
      <c r="O844" s="1" t="s">
        <v>2276</v>
      </c>
    </row>
    <row r="845" spans="1:15" x14ac:dyDescent="0.25">
      <c r="A845">
        <v>1993</v>
      </c>
      <c r="B845" s="1" t="s">
        <v>354</v>
      </c>
      <c r="C845" s="1" t="str">
        <f t="shared" si="13"/>
        <v>Quebec</v>
      </c>
      <c r="D845" s="1" t="s">
        <v>14</v>
      </c>
      <c r="E845" s="5">
        <v>46</v>
      </c>
      <c r="F845" s="1" t="s">
        <v>1913</v>
      </c>
      <c r="G845" s="1" t="s">
        <v>32</v>
      </c>
      <c r="H845" t="s">
        <v>2270</v>
      </c>
      <c r="I845" s="1" t="s">
        <v>24</v>
      </c>
      <c r="J845" s="1" t="s">
        <v>25</v>
      </c>
      <c r="K845" s="1" t="s">
        <v>107</v>
      </c>
      <c r="L845" s="1" t="s">
        <v>32</v>
      </c>
      <c r="M845" s="1" t="s">
        <v>1914</v>
      </c>
      <c r="N845" s="1" t="s">
        <v>22</v>
      </c>
      <c r="O845" s="1" t="s">
        <v>2276</v>
      </c>
    </row>
    <row r="846" spans="1:15" x14ac:dyDescent="0.25">
      <c r="A846">
        <v>1994</v>
      </c>
      <c r="B846" s="1" t="s">
        <v>354</v>
      </c>
      <c r="C846" s="1" t="str">
        <f t="shared" si="13"/>
        <v>Quebec</v>
      </c>
      <c r="D846" s="1" t="s">
        <v>73</v>
      </c>
      <c r="E846" s="5">
        <v>63</v>
      </c>
      <c r="F846" s="1" t="s">
        <v>1915</v>
      </c>
      <c r="G846" s="1" t="s">
        <v>1916</v>
      </c>
      <c r="H846" t="s">
        <v>2270</v>
      </c>
      <c r="I846" s="1" t="s">
        <v>43</v>
      </c>
      <c r="J846" s="1" t="s">
        <v>18</v>
      </c>
      <c r="K846" s="1" t="s">
        <v>31</v>
      </c>
      <c r="L846" s="1" t="s">
        <v>91</v>
      </c>
      <c r="M846" s="1" t="s">
        <v>1917</v>
      </c>
      <c r="N846" s="1" t="s">
        <v>22</v>
      </c>
      <c r="O846" s="1" t="s">
        <v>2276</v>
      </c>
    </row>
    <row r="847" spans="1:15" x14ac:dyDescent="0.25">
      <c r="A847">
        <v>1995</v>
      </c>
      <c r="B847" s="1" t="s">
        <v>354</v>
      </c>
      <c r="C847" s="1" t="str">
        <f t="shared" si="13"/>
        <v>Quebec</v>
      </c>
      <c r="D847" s="1" t="s">
        <v>28</v>
      </c>
      <c r="E847" s="5">
        <v>48</v>
      </c>
      <c r="F847" s="1" t="s">
        <v>1918</v>
      </c>
      <c r="G847" s="1" t="s">
        <v>32</v>
      </c>
      <c r="H847" t="s">
        <v>2270</v>
      </c>
      <c r="I847" s="1" t="s">
        <v>43</v>
      </c>
      <c r="J847" s="1" t="s">
        <v>25</v>
      </c>
      <c r="K847" s="1" t="s">
        <v>32</v>
      </c>
      <c r="L847" s="1" t="s">
        <v>20</v>
      </c>
      <c r="M847" s="1" t="s">
        <v>1919</v>
      </c>
      <c r="N847" s="1" t="s">
        <v>60</v>
      </c>
      <c r="O847" s="1" t="s">
        <v>2276</v>
      </c>
    </row>
    <row r="848" spans="1:15" x14ac:dyDescent="0.25">
      <c r="A848">
        <v>1996</v>
      </c>
      <c r="B848" s="1" t="s">
        <v>354</v>
      </c>
      <c r="C848" s="1" t="str">
        <f t="shared" si="13"/>
        <v>Quebec</v>
      </c>
      <c r="D848" s="1" t="s">
        <v>73</v>
      </c>
      <c r="E848" s="5">
        <v>50</v>
      </c>
      <c r="F848" s="1" t="s">
        <v>1920</v>
      </c>
      <c r="G848" s="1" t="s">
        <v>32</v>
      </c>
      <c r="H848" t="s">
        <v>2270</v>
      </c>
      <c r="I848" s="1" t="s">
        <v>24</v>
      </c>
      <c r="J848" s="1" t="s">
        <v>232</v>
      </c>
      <c r="K848" s="1" t="s">
        <v>32</v>
      </c>
      <c r="L848" s="1" t="s">
        <v>20</v>
      </c>
      <c r="M848" s="1" t="s">
        <v>1921</v>
      </c>
      <c r="N848" s="1" t="s">
        <v>22</v>
      </c>
      <c r="O848" s="1" t="s">
        <v>2276</v>
      </c>
    </row>
    <row r="849" spans="1:15" x14ac:dyDescent="0.25">
      <c r="A849">
        <v>1997</v>
      </c>
      <c r="B849" s="1" t="s">
        <v>354</v>
      </c>
      <c r="C849" s="1" t="str">
        <f t="shared" si="13"/>
        <v>Quebec</v>
      </c>
      <c r="D849" s="1" t="s">
        <v>73</v>
      </c>
      <c r="E849" s="5">
        <v>44</v>
      </c>
      <c r="F849" s="1" t="s">
        <v>1922</v>
      </c>
      <c r="G849" s="1" t="s">
        <v>32</v>
      </c>
      <c r="H849" t="s">
        <v>2270</v>
      </c>
      <c r="I849" s="1" t="s">
        <v>17</v>
      </c>
      <c r="J849" s="1" t="s">
        <v>25</v>
      </c>
      <c r="K849" s="1" t="s">
        <v>32</v>
      </c>
      <c r="L849" s="1" t="s">
        <v>20</v>
      </c>
      <c r="M849" s="1" t="s">
        <v>1923</v>
      </c>
      <c r="N849" s="1" t="s">
        <v>22</v>
      </c>
      <c r="O849" s="1" t="s">
        <v>2276</v>
      </c>
    </row>
    <row r="850" spans="1:15" x14ac:dyDescent="0.25">
      <c r="A850">
        <v>1999</v>
      </c>
      <c r="B850" s="1" t="s">
        <v>354</v>
      </c>
      <c r="C850" s="1" t="str">
        <f t="shared" si="13"/>
        <v>Quebec</v>
      </c>
      <c r="D850" s="1" t="s">
        <v>73</v>
      </c>
      <c r="E850" s="5">
        <v>55</v>
      </c>
      <c r="F850" s="1" t="s">
        <v>1924</v>
      </c>
      <c r="G850" s="1" t="s">
        <v>1925</v>
      </c>
      <c r="H850" t="s">
        <v>2270</v>
      </c>
      <c r="I850" s="1" t="s">
        <v>43</v>
      </c>
      <c r="J850" s="1" t="s">
        <v>25</v>
      </c>
      <c r="K850" s="1" t="s">
        <v>31</v>
      </c>
      <c r="L850" s="1" t="s">
        <v>45</v>
      </c>
      <c r="M850" s="1" t="s">
        <v>1926</v>
      </c>
      <c r="N850" s="1" t="s">
        <v>22</v>
      </c>
      <c r="O850" s="1" t="s">
        <v>2276</v>
      </c>
    </row>
    <row r="851" spans="1:15" x14ac:dyDescent="0.25">
      <c r="A851">
        <v>2000</v>
      </c>
      <c r="B851" s="1" t="s">
        <v>354</v>
      </c>
      <c r="C851" s="1" t="str">
        <f t="shared" si="13"/>
        <v>Quebec</v>
      </c>
      <c r="D851" s="1" t="s">
        <v>73</v>
      </c>
      <c r="E851" s="5">
        <v>61</v>
      </c>
      <c r="F851" s="1" t="s">
        <v>1927</v>
      </c>
      <c r="G851" s="1" t="s">
        <v>1928</v>
      </c>
      <c r="H851" t="s">
        <v>2271</v>
      </c>
      <c r="I851" s="1" t="s">
        <v>43</v>
      </c>
      <c r="J851" s="1" t="s">
        <v>25</v>
      </c>
      <c r="K851" s="1" t="s">
        <v>32</v>
      </c>
      <c r="L851" s="1" t="s">
        <v>45</v>
      </c>
      <c r="M851" s="1" t="s">
        <v>1929</v>
      </c>
      <c r="N851" s="1" t="s">
        <v>22</v>
      </c>
      <c r="O851" s="1" t="s">
        <v>2276</v>
      </c>
    </row>
    <row r="852" spans="1:15" x14ac:dyDescent="0.25">
      <c r="A852">
        <v>2001</v>
      </c>
      <c r="B852" s="1" t="s">
        <v>354</v>
      </c>
      <c r="C852" s="1" t="str">
        <f t="shared" si="13"/>
        <v>Quebec</v>
      </c>
      <c r="D852" s="1" t="s">
        <v>28</v>
      </c>
      <c r="E852" s="5">
        <v>37</v>
      </c>
      <c r="F852" s="1" t="s">
        <v>1568</v>
      </c>
      <c r="G852" s="1" t="s">
        <v>32</v>
      </c>
      <c r="H852" t="s">
        <v>2270</v>
      </c>
      <c r="I852" s="1" t="s">
        <v>17</v>
      </c>
      <c r="J852" s="1" t="s">
        <v>25</v>
      </c>
      <c r="K852" s="1" t="s">
        <v>32</v>
      </c>
      <c r="L852" s="1" t="s">
        <v>91</v>
      </c>
      <c r="M852" s="1" t="s">
        <v>1930</v>
      </c>
      <c r="N852" s="1" t="s">
        <v>60</v>
      </c>
      <c r="O852" s="1" t="s">
        <v>2276</v>
      </c>
    </row>
    <row r="853" spans="1:15" x14ac:dyDescent="0.25">
      <c r="A853">
        <v>2002</v>
      </c>
      <c r="B853" s="1" t="s">
        <v>354</v>
      </c>
      <c r="C853" s="1" t="str">
        <f t="shared" si="13"/>
        <v>Quebec</v>
      </c>
      <c r="D853" s="1" t="s">
        <v>28</v>
      </c>
      <c r="E853" s="5">
        <v>50</v>
      </c>
      <c r="F853" s="1" t="s">
        <v>32</v>
      </c>
      <c r="G853" s="1" t="s">
        <v>32</v>
      </c>
      <c r="H853" t="s">
        <v>2270</v>
      </c>
      <c r="I853" s="1" t="s">
        <v>43</v>
      </c>
      <c r="J853" s="1" t="s">
        <v>25</v>
      </c>
      <c r="K853" s="1" t="s">
        <v>32</v>
      </c>
      <c r="L853" s="1" t="s">
        <v>45</v>
      </c>
      <c r="M853" s="1" t="s">
        <v>1931</v>
      </c>
      <c r="N853" s="1" t="s">
        <v>60</v>
      </c>
      <c r="O853" s="1" t="s">
        <v>2276</v>
      </c>
    </row>
    <row r="854" spans="1:15" x14ac:dyDescent="0.25">
      <c r="A854">
        <v>2003</v>
      </c>
      <c r="B854" s="1" t="s">
        <v>354</v>
      </c>
      <c r="C854" s="1" t="str">
        <f t="shared" si="13"/>
        <v>Quebec</v>
      </c>
      <c r="D854" s="1" t="s">
        <v>28</v>
      </c>
      <c r="E854" s="5">
        <v>50</v>
      </c>
      <c r="F854" s="1" t="s">
        <v>32</v>
      </c>
      <c r="G854" s="1" t="s">
        <v>32</v>
      </c>
      <c r="H854" t="s">
        <v>2270</v>
      </c>
      <c r="I854" s="1" t="s">
        <v>43</v>
      </c>
      <c r="J854" s="1" t="s">
        <v>25</v>
      </c>
      <c r="K854" s="1" t="s">
        <v>32</v>
      </c>
      <c r="L854" s="1" t="s">
        <v>45</v>
      </c>
      <c r="M854" s="1" t="s">
        <v>1932</v>
      </c>
      <c r="N854" s="1" t="s">
        <v>22</v>
      </c>
      <c r="O854" s="1" t="s">
        <v>2276</v>
      </c>
    </row>
    <row r="855" spans="1:15" x14ac:dyDescent="0.25">
      <c r="A855">
        <v>2006</v>
      </c>
      <c r="B855" s="1" t="s">
        <v>354</v>
      </c>
      <c r="C855" s="1" t="str">
        <f t="shared" si="13"/>
        <v>Quebec</v>
      </c>
      <c r="D855" s="1" t="s">
        <v>73</v>
      </c>
      <c r="E855" s="5">
        <v>50</v>
      </c>
      <c r="F855" s="1" t="s">
        <v>1933</v>
      </c>
      <c r="G855" s="1" t="s">
        <v>32</v>
      </c>
      <c r="H855" t="s">
        <v>2270</v>
      </c>
      <c r="I855" s="1" t="s">
        <v>43</v>
      </c>
      <c r="J855" s="1" t="s">
        <v>25</v>
      </c>
      <c r="K855" s="1" t="s">
        <v>32</v>
      </c>
      <c r="L855" s="1" t="s">
        <v>45</v>
      </c>
      <c r="M855" s="1" t="s">
        <v>1934</v>
      </c>
      <c r="N855" s="1" t="s">
        <v>22</v>
      </c>
      <c r="O855" s="1" t="s">
        <v>2276</v>
      </c>
    </row>
    <row r="856" spans="1:15" x14ac:dyDescent="0.25">
      <c r="A856">
        <v>2007</v>
      </c>
      <c r="B856" s="1" t="s">
        <v>354</v>
      </c>
      <c r="C856" s="1" t="str">
        <f t="shared" si="13"/>
        <v>Quebec</v>
      </c>
      <c r="D856" s="1" t="s">
        <v>14</v>
      </c>
      <c r="E856" s="5">
        <v>42</v>
      </c>
      <c r="F856" s="1" t="s">
        <v>1568</v>
      </c>
      <c r="G856" s="1" t="s">
        <v>32</v>
      </c>
      <c r="H856" t="s">
        <v>2270</v>
      </c>
      <c r="I856" s="1" t="s">
        <v>17</v>
      </c>
      <c r="J856" s="1" t="s">
        <v>25</v>
      </c>
      <c r="K856" s="1" t="s">
        <v>31</v>
      </c>
      <c r="L856" s="1" t="s">
        <v>91</v>
      </c>
      <c r="M856" s="1" t="s">
        <v>1935</v>
      </c>
      <c r="N856" s="1" t="s">
        <v>60</v>
      </c>
      <c r="O856" s="1" t="s">
        <v>2276</v>
      </c>
    </row>
    <row r="857" spans="1:15" x14ac:dyDescent="0.25">
      <c r="A857">
        <v>2008</v>
      </c>
      <c r="B857" s="1" t="s">
        <v>354</v>
      </c>
      <c r="C857" s="1" t="str">
        <f t="shared" si="13"/>
        <v>Quebec</v>
      </c>
      <c r="D857" s="1" t="s">
        <v>73</v>
      </c>
      <c r="E857" s="5">
        <v>48</v>
      </c>
      <c r="F857" s="1" t="s">
        <v>1936</v>
      </c>
      <c r="G857" s="1" t="s">
        <v>1937</v>
      </c>
      <c r="H857" t="s">
        <v>2270</v>
      </c>
      <c r="I857" s="1" t="s">
        <v>17</v>
      </c>
      <c r="J857" s="1" t="s">
        <v>25</v>
      </c>
      <c r="K857" s="1" t="s">
        <v>31</v>
      </c>
      <c r="L857" s="1" t="s">
        <v>45</v>
      </c>
      <c r="M857" s="1" t="s">
        <v>1938</v>
      </c>
      <c r="N857" s="1" t="s">
        <v>22</v>
      </c>
      <c r="O857" s="1" t="s">
        <v>2276</v>
      </c>
    </row>
    <row r="858" spans="1:15" x14ac:dyDescent="0.25">
      <c r="A858">
        <v>2009</v>
      </c>
      <c r="B858" s="1" t="s">
        <v>354</v>
      </c>
      <c r="C858" s="1" t="str">
        <f t="shared" si="13"/>
        <v>Quebec</v>
      </c>
      <c r="D858" s="1" t="s">
        <v>73</v>
      </c>
      <c r="E858" s="5">
        <v>43</v>
      </c>
      <c r="F858" s="1" t="s">
        <v>1939</v>
      </c>
      <c r="G858" s="1" t="s">
        <v>32</v>
      </c>
      <c r="H858" t="s">
        <v>2270</v>
      </c>
      <c r="I858" s="1" t="s">
        <v>17</v>
      </c>
      <c r="J858" s="1" t="s">
        <v>25</v>
      </c>
      <c r="K858" s="1" t="s">
        <v>31</v>
      </c>
      <c r="L858" s="1" t="s">
        <v>91</v>
      </c>
      <c r="M858" s="1" t="s">
        <v>1940</v>
      </c>
      <c r="N858" s="1" t="s">
        <v>60</v>
      </c>
      <c r="O858" s="1" t="s">
        <v>2276</v>
      </c>
    </row>
    <row r="859" spans="1:15" x14ac:dyDescent="0.25">
      <c r="A859">
        <v>2010</v>
      </c>
      <c r="B859" s="1" t="s">
        <v>354</v>
      </c>
      <c r="C859" s="1" t="str">
        <f t="shared" si="13"/>
        <v>Quebec</v>
      </c>
      <c r="D859" s="1" t="s">
        <v>73</v>
      </c>
      <c r="E859" s="5">
        <v>38</v>
      </c>
      <c r="F859" s="1" t="s">
        <v>32</v>
      </c>
      <c r="G859" s="1" t="s">
        <v>1941</v>
      </c>
      <c r="H859" t="s">
        <v>2270</v>
      </c>
      <c r="I859" s="1" t="s">
        <v>17</v>
      </c>
      <c r="J859" s="1" t="s">
        <v>25</v>
      </c>
      <c r="K859" s="1" t="s">
        <v>31</v>
      </c>
      <c r="L859" s="1" t="s">
        <v>91</v>
      </c>
      <c r="M859" s="1" t="s">
        <v>1942</v>
      </c>
      <c r="N859" s="1" t="s">
        <v>60</v>
      </c>
      <c r="O859" s="1" t="s">
        <v>2276</v>
      </c>
    </row>
    <row r="860" spans="1:15" x14ac:dyDescent="0.25">
      <c r="A860">
        <v>2011</v>
      </c>
      <c r="B860" s="1" t="s">
        <v>354</v>
      </c>
      <c r="C860" s="1" t="str">
        <f t="shared" si="13"/>
        <v>Quebec</v>
      </c>
      <c r="D860" s="1" t="s">
        <v>73</v>
      </c>
      <c r="E860" s="5">
        <v>43</v>
      </c>
      <c r="F860" s="1" t="s">
        <v>32</v>
      </c>
      <c r="G860" s="1" t="s">
        <v>32</v>
      </c>
      <c r="H860" t="s">
        <v>2270</v>
      </c>
      <c r="I860" s="1" t="s">
        <v>17</v>
      </c>
      <c r="J860" s="1" t="s">
        <v>25</v>
      </c>
      <c r="K860" s="1" t="s">
        <v>31</v>
      </c>
      <c r="L860" s="1" t="s">
        <v>91</v>
      </c>
      <c r="M860" s="1" t="s">
        <v>1943</v>
      </c>
      <c r="N860" s="1" t="s">
        <v>60</v>
      </c>
      <c r="O860" s="1" t="s">
        <v>2276</v>
      </c>
    </row>
    <row r="861" spans="1:15" x14ac:dyDescent="0.25">
      <c r="A861">
        <v>2012</v>
      </c>
      <c r="B861" s="1" t="s">
        <v>354</v>
      </c>
      <c r="C861" s="1" t="str">
        <f t="shared" si="13"/>
        <v>Quebec</v>
      </c>
      <c r="D861" s="1" t="s">
        <v>73</v>
      </c>
      <c r="E861" s="5">
        <v>48</v>
      </c>
      <c r="F861" s="1" t="s">
        <v>32</v>
      </c>
      <c r="G861" s="1" t="s">
        <v>1944</v>
      </c>
      <c r="H861" t="s">
        <v>2270</v>
      </c>
      <c r="I861" s="1" t="s">
        <v>17</v>
      </c>
      <c r="J861" s="1" t="s">
        <v>25</v>
      </c>
      <c r="K861" s="1" t="s">
        <v>31</v>
      </c>
      <c r="L861" s="1" t="s">
        <v>45</v>
      </c>
      <c r="M861" s="1" t="s">
        <v>1945</v>
      </c>
      <c r="N861" s="1" t="s">
        <v>22</v>
      </c>
      <c r="O861" s="1" t="s">
        <v>2276</v>
      </c>
    </row>
    <row r="862" spans="1:15" x14ac:dyDescent="0.25">
      <c r="A862">
        <v>2013</v>
      </c>
      <c r="B862" s="1" t="s">
        <v>354</v>
      </c>
      <c r="C862" s="1" t="str">
        <f t="shared" si="13"/>
        <v>Quebec</v>
      </c>
      <c r="D862" s="1" t="s">
        <v>14</v>
      </c>
      <c r="E862" s="5">
        <v>46</v>
      </c>
      <c r="F862" s="1" t="s">
        <v>1946</v>
      </c>
      <c r="G862" s="1" t="s">
        <v>1947</v>
      </c>
      <c r="H862" t="s">
        <v>2270</v>
      </c>
      <c r="I862" s="1" t="s">
        <v>24</v>
      </c>
      <c r="J862" s="1" t="s">
        <v>25</v>
      </c>
      <c r="K862" s="1" t="s">
        <v>31</v>
      </c>
      <c r="L862" s="1" t="s">
        <v>45</v>
      </c>
      <c r="M862" s="1" t="s">
        <v>1948</v>
      </c>
      <c r="N862" s="1" t="s">
        <v>22</v>
      </c>
      <c r="O862" s="1" t="s">
        <v>2276</v>
      </c>
    </row>
    <row r="863" spans="1:15" x14ac:dyDescent="0.25">
      <c r="A863">
        <v>2014</v>
      </c>
      <c r="B863" s="1" t="s">
        <v>354</v>
      </c>
      <c r="C863" s="1" t="str">
        <f t="shared" si="13"/>
        <v>Quebec</v>
      </c>
      <c r="D863" s="1" t="s">
        <v>14</v>
      </c>
      <c r="E863" s="5">
        <v>46</v>
      </c>
      <c r="F863" s="1" t="s">
        <v>1949</v>
      </c>
      <c r="G863" s="1" t="s">
        <v>1950</v>
      </c>
      <c r="H863" t="s">
        <v>2270</v>
      </c>
      <c r="I863" s="1" t="s">
        <v>24</v>
      </c>
      <c r="J863" s="1" t="s">
        <v>25</v>
      </c>
      <c r="K863" s="1" t="s">
        <v>31</v>
      </c>
      <c r="L863" s="1" t="s">
        <v>32</v>
      </c>
      <c r="M863" s="1" t="s">
        <v>1951</v>
      </c>
      <c r="N863" s="1" t="s">
        <v>22</v>
      </c>
      <c r="O863" s="1" t="s">
        <v>2276</v>
      </c>
    </row>
    <row r="864" spans="1:15" x14ac:dyDescent="0.25">
      <c r="A864">
        <v>2015</v>
      </c>
      <c r="B864" s="1" t="s">
        <v>354</v>
      </c>
      <c r="C864" s="1" t="str">
        <f t="shared" si="13"/>
        <v>Quebec</v>
      </c>
      <c r="D864" s="1" t="s">
        <v>73</v>
      </c>
      <c r="E864" s="5">
        <v>45</v>
      </c>
      <c r="F864" s="1" t="s">
        <v>1952</v>
      </c>
      <c r="G864" s="1" t="s">
        <v>1953</v>
      </c>
      <c r="H864" t="s">
        <v>2270</v>
      </c>
      <c r="I864" s="1" t="s">
        <v>17</v>
      </c>
      <c r="J864" s="1" t="s">
        <v>25</v>
      </c>
      <c r="K864" s="1" t="s">
        <v>19</v>
      </c>
      <c r="L864" s="1" t="s">
        <v>32</v>
      </c>
      <c r="M864" s="1" t="s">
        <v>1954</v>
      </c>
      <c r="N864" s="1" t="s">
        <v>22</v>
      </c>
      <c r="O864" s="1" t="s">
        <v>2276</v>
      </c>
    </row>
    <row r="865" spans="1:15" x14ac:dyDescent="0.25">
      <c r="A865">
        <v>2016</v>
      </c>
      <c r="B865" s="1" t="s">
        <v>354</v>
      </c>
      <c r="C865" s="1" t="str">
        <f t="shared" si="13"/>
        <v>Quebec</v>
      </c>
      <c r="D865" s="1" t="s">
        <v>73</v>
      </c>
      <c r="E865" s="5">
        <v>48</v>
      </c>
      <c r="F865" s="1" t="s">
        <v>1955</v>
      </c>
      <c r="G865" s="1" t="s">
        <v>32</v>
      </c>
      <c r="H865" t="s">
        <v>2271</v>
      </c>
      <c r="I865" s="1" t="s">
        <v>43</v>
      </c>
      <c r="J865" s="1" t="s">
        <v>25</v>
      </c>
      <c r="K865" s="1" t="s">
        <v>19</v>
      </c>
      <c r="L865" s="1" t="s">
        <v>20</v>
      </c>
      <c r="M865" s="1" t="s">
        <v>1956</v>
      </c>
      <c r="N865" s="1" t="s">
        <v>22</v>
      </c>
      <c r="O865" s="1" t="s">
        <v>2276</v>
      </c>
    </row>
    <row r="866" spans="1:15" x14ac:dyDescent="0.25">
      <c r="A866">
        <v>2017</v>
      </c>
      <c r="B866" s="1" t="s">
        <v>354</v>
      </c>
      <c r="C866" s="1" t="str">
        <f t="shared" si="13"/>
        <v>Quebec</v>
      </c>
      <c r="D866" s="1" t="s">
        <v>14</v>
      </c>
      <c r="E866" s="5">
        <v>45</v>
      </c>
      <c r="F866" s="1" t="s">
        <v>1957</v>
      </c>
      <c r="G866" s="1" t="s">
        <v>32</v>
      </c>
      <c r="H866" t="s">
        <v>2270</v>
      </c>
      <c r="I866" s="1" t="s">
        <v>17</v>
      </c>
      <c r="J866" s="1" t="s">
        <v>25</v>
      </c>
      <c r="K866" s="1" t="s">
        <v>31</v>
      </c>
      <c r="L866" s="1" t="s">
        <v>32</v>
      </c>
      <c r="M866" s="1" t="s">
        <v>1958</v>
      </c>
      <c r="N866" s="1" t="s">
        <v>60</v>
      </c>
      <c r="O866" s="1" t="s">
        <v>2276</v>
      </c>
    </row>
    <row r="867" spans="1:15" x14ac:dyDescent="0.25">
      <c r="A867">
        <v>2018</v>
      </c>
      <c r="B867" s="1" t="s">
        <v>354</v>
      </c>
      <c r="C867" s="1" t="str">
        <f t="shared" si="13"/>
        <v>Quebec</v>
      </c>
      <c r="D867" s="1" t="s">
        <v>14</v>
      </c>
      <c r="E867" s="5">
        <v>39</v>
      </c>
      <c r="F867" s="1" t="s">
        <v>32</v>
      </c>
      <c r="G867" s="1" t="s">
        <v>32</v>
      </c>
      <c r="H867" t="s">
        <v>2270</v>
      </c>
      <c r="I867" s="1" t="s">
        <v>17</v>
      </c>
      <c r="J867" s="1" t="s">
        <v>25</v>
      </c>
      <c r="K867" s="1" t="s">
        <v>31</v>
      </c>
      <c r="L867" s="1" t="s">
        <v>32</v>
      </c>
      <c r="M867" s="1" t="s">
        <v>1959</v>
      </c>
      <c r="N867" s="1" t="s">
        <v>60</v>
      </c>
      <c r="O867" s="1" t="s">
        <v>2276</v>
      </c>
    </row>
    <row r="868" spans="1:15" x14ac:dyDescent="0.25">
      <c r="A868">
        <v>2019</v>
      </c>
      <c r="B868" s="1" t="s">
        <v>354</v>
      </c>
      <c r="C868" s="1" t="str">
        <f t="shared" si="13"/>
        <v>Quebec</v>
      </c>
      <c r="D868" s="1" t="s">
        <v>14</v>
      </c>
      <c r="E868" s="5">
        <v>41</v>
      </c>
      <c r="F868" s="1" t="s">
        <v>1960</v>
      </c>
      <c r="G868" s="1" t="s">
        <v>32</v>
      </c>
      <c r="H868" t="s">
        <v>2271</v>
      </c>
      <c r="I868" s="1" t="s">
        <v>17</v>
      </c>
      <c r="J868" s="1" t="s">
        <v>25</v>
      </c>
      <c r="K868" s="1" t="s">
        <v>107</v>
      </c>
      <c r="L868" s="1" t="s">
        <v>32</v>
      </c>
      <c r="M868" s="1" t="s">
        <v>1961</v>
      </c>
      <c r="N868" s="1" t="s">
        <v>60</v>
      </c>
      <c r="O868" s="1" t="s">
        <v>2276</v>
      </c>
    </row>
    <row r="869" spans="1:15" x14ac:dyDescent="0.25">
      <c r="A869">
        <v>2020</v>
      </c>
      <c r="B869" s="1" t="s">
        <v>354</v>
      </c>
      <c r="C869" s="1" t="str">
        <f t="shared" si="13"/>
        <v>Quebec</v>
      </c>
      <c r="D869" s="1" t="s">
        <v>14</v>
      </c>
      <c r="E869" s="5">
        <v>43</v>
      </c>
      <c r="F869" s="1" t="s">
        <v>1962</v>
      </c>
      <c r="G869" s="1" t="s">
        <v>1963</v>
      </c>
      <c r="H869" t="s">
        <v>2271</v>
      </c>
      <c r="I869" s="1" t="s">
        <v>24</v>
      </c>
      <c r="J869" s="1" t="s">
        <v>25</v>
      </c>
      <c r="K869" s="1" t="s">
        <v>107</v>
      </c>
      <c r="L869" s="1" t="s">
        <v>32</v>
      </c>
      <c r="M869" s="1" t="s">
        <v>1964</v>
      </c>
      <c r="N869" s="1" t="s">
        <v>60</v>
      </c>
      <c r="O869" s="1" t="s">
        <v>2276</v>
      </c>
    </row>
    <row r="870" spans="1:15" x14ac:dyDescent="0.25">
      <c r="A870">
        <v>2022</v>
      </c>
      <c r="B870" s="1" t="s">
        <v>354</v>
      </c>
      <c r="C870" s="1" t="str">
        <f t="shared" si="13"/>
        <v>Quebec</v>
      </c>
      <c r="D870" s="1" t="s">
        <v>73</v>
      </c>
      <c r="E870" s="5">
        <v>54</v>
      </c>
      <c r="F870" s="1" t="s">
        <v>1965</v>
      </c>
      <c r="G870" s="1" t="s">
        <v>1966</v>
      </c>
      <c r="H870" t="s">
        <v>2270</v>
      </c>
      <c r="I870" s="1" t="s">
        <v>43</v>
      </c>
      <c r="J870" s="1" t="s">
        <v>25</v>
      </c>
      <c r="K870" s="1" t="s">
        <v>31</v>
      </c>
      <c r="L870" s="1" t="s">
        <v>32</v>
      </c>
      <c r="M870" s="1" t="s">
        <v>1967</v>
      </c>
      <c r="N870" s="1" t="s">
        <v>22</v>
      </c>
      <c r="O870" s="1" t="s">
        <v>2276</v>
      </c>
    </row>
    <row r="871" spans="1:15" x14ac:dyDescent="0.25">
      <c r="A871">
        <v>2023</v>
      </c>
      <c r="B871" s="1" t="s">
        <v>354</v>
      </c>
      <c r="C871" s="1" t="str">
        <f t="shared" si="13"/>
        <v>Quebec</v>
      </c>
      <c r="D871" s="1" t="s">
        <v>73</v>
      </c>
      <c r="E871" s="5">
        <v>46</v>
      </c>
      <c r="F871" s="1" t="s">
        <v>1968</v>
      </c>
      <c r="G871" s="1" t="s">
        <v>1969</v>
      </c>
      <c r="H871" t="s">
        <v>2270</v>
      </c>
      <c r="I871" s="1" t="s">
        <v>24</v>
      </c>
      <c r="J871" s="1" t="s">
        <v>25</v>
      </c>
      <c r="K871" s="1" t="s">
        <v>31</v>
      </c>
      <c r="L871" s="1" t="s">
        <v>32</v>
      </c>
      <c r="M871" s="1" t="s">
        <v>1970</v>
      </c>
      <c r="N871" s="1" t="s">
        <v>22</v>
      </c>
      <c r="O871" s="1" t="s">
        <v>2276</v>
      </c>
    </row>
    <row r="872" spans="1:15" x14ac:dyDescent="0.25">
      <c r="A872">
        <v>2024</v>
      </c>
      <c r="B872" s="1" t="s">
        <v>354</v>
      </c>
      <c r="C872" s="1" t="str">
        <f t="shared" si="13"/>
        <v>Quebec</v>
      </c>
      <c r="D872" s="1" t="s">
        <v>73</v>
      </c>
      <c r="E872" s="5">
        <v>55</v>
      </c>
      <c r="F872" s="1" t="s">
        <v>1971</v>
      </c>
      <c r="G872" s="1" t="s">
        <v>32</v>
      </c>
      <c r="H872" t="s">
        <v>2270</v>
      </c>
      <c r="I872" s="1" t="s">
        <v>43</v>
      </c>
      <c r="J872" s="1" t="s">
        <v>25</v>
      </c>
      <c r="K872" s="1" t="s">
        <v>31</v>
      </c>
      <c r="L872" s="1" t="s">
        <v>32</v>
      </c>
      <c r="M872" s="1" t="s">
        <v>1972</v>
      </c>
      <c r="N872" s="1" t="s">
        <v>22</v>
      </c>
      <c r="O872" s="1" t="s">
        <v>2276</v>
      </c>
    </row>
    <row r="873" spans="1:15" x14ac:dyDescent="0.25">
      <c r="A873">
        <v>2025</v>
      </c>
      <c r="B873" s="1" t="s">
        <v>354</v>
      </c>
      <c r="C873" s="1" t="str">
        <f t="shared" si="13"/>
        <v>Quebec</v>
      </c>
      <c r="D873" s="1" t="s">
        <v>73</v>
      </c>
      <c r="E873" s="5">
        <v>45</v>
      </c>
      <c r="F873" s="1" t="s">
        <v>1973</v>
      </c>
      <c r="G873" s="1" t="s">
        <v>32</v>
      </c>
      <c r="H873" t="s">
        <v>2270</v>
      </c>
      <c r="I873" s="1" t="s">
        <v>24</v>
      </c>
      <c r="J873" s="1" t="s">
        <v>25</v>
      </c>
      <c r="K873" s="1" t="s">
        <v>31</v>
      </c>
      <c r="L873" s="1" t="s">
        <v>32</v>
      </c>
      <c r="M873" s="1" t="s">
        <v>1974</v>
      </c>
      <c r="N873" s="1" t="s">
        <v>22</v>
      </c>
      <c r="O873" s="1" t="s">
        <v>2276</v>
      </c>
    </row>
    <row r="874" spans="1:15" x14ac:dyDescent="0.25">
      <c r="A874">
        <v>2026</v>
      </c>
      <c r="B874" s="1" t="s">
        <v>354</v>
      </c>
      <c r="C874" s="1" t="str">
        <f t="shared" si="13"/>
        <v>Quebec</v>
      </c>
      <c r="D874" s="1" t="s">
        <v>28</v>
      </c>
      <c r="E874" s="5">
        <v>39</v>
      </c>
      <c r="F874" s="1" t="s">
        <v>1975</v>
      </c>
      <c r="G874" s="1" t="s">
        <v>32</v>
      </c>
      <c r="H874" t="s">
        <v>2270</v>
      </c>
      <c r="I874" s="1" t="s">
        <v>17</v>
      </c>
      <c r="J874" s="1" t="s">
        <v>25</v>
      </c>
      <c r="K874" s="1" t="s">
        <v>31</v>
      </c>
      <c r="L874" s="1" t="s">
        <v>91</v>
      </c>
      <c r="M874" s="1" t="s">
        <v>1976</v>
      </c>
      <c r="N874" s="1" t="s">
        <v>60</v>
      </c>
      <c r="O874" s="1" t="s">
        <v>2276</v>
      </c>
    </row>
    <row r="875" spans="1:15" x14ac:dyDescent="0.25">
      <c r="A875">
        <v>2027</v>
      </c>
      <c r="B875" s="1" t="s">
        <v>354</v>
      </c>
      <c r="C875" s="1" t="str">
        <f t="shared" si="13"/>
        <v>Quebec</v>
      </c>
      <c r="D875" s="1" t="s">
        <v>73</v>
      </c>
      <c r="E875" s="5">
        <v>44</v>
      </c>
      <c r="F875" s="1" t="s">
        <v>32</v>
      </c>
      <c r="G875" s="1" t="s">
        <v>32</v>
      </c>
      <c r="H875" t="s">
        <v>2270</v>
      </c>
      <c r="I875" s="1" t="s">
        <v>24</v>
      </c>
      <c r="J875" s="1" t="s">
        <v>25</v>
      </c>
      <c r="K875" s="1" t="s">
        <v>31</v>
      </c>
      <c r="L875" s="1" t="s">
        <v>32</v>
      </c>
      <c r="M875" s="1" t="s">
        <v>1977</v>
      </c>
      <c r="N875" s="1" t="s">
        <v>60</v>
      </c>
      <c r="O875" s="1" t="s">
        <v>2276</v>
      </c>
    </row>
    <row r="876" spans="1:15" x14ac:dyDescent="0.25">
      <c r="A876">
        <v>2028</v>
      </c>
      <c r="B876" s="1" t="s">
        <v>354</v>
      </c>
      <c r="C876" s="1" t="str">
        <f t="shared" si="13"/>
        <v>Quebec</v>
      </c>
      <c r="D876" s="1" t="s">
        <v>73</v>
      </c>
      <c r="E876" s="5">
        <v>68</v>
      </c>
      <c r="F876" s="1" t="s">
        <v>32</v>
      </c>
      <c r="G876" s="1" t="s">
        <v>32</v>
      </c>
      <c r="H876" t="s">
        <v>2270</v>
      </c>
      <c r="I876" s="1" t="s">
        <v>40</v>
      </c>
      <c r="J876" s="1" t="s">
        <v>25</v>
      </c>
      <c r="K876" s="1" t="s">
        <v>32</v>
      </c>
      <c r="L876" s="1" t="s">
        <v>32</v>
      </c>
      <c r="M876" s="1" t="s">
        <v>1978</v>
      </c>
      <c r="N876" s="1" t="s">
        <v>22</v>
      </c>
      <c r="O876" s="1" t="s">
        <v>2276</v>
      </c>
    </row>
    <row r="877" spans="1:15" x14ac:dyDescent="0.25">
      <c r="A877">
        <v>2029</v>
      </c>
      <c r="B877" s="1" t="s">
        <v>354</v>
      </c>
      <c r="C877" s="1" t="str">
        <f t="shared" si="13"/>
        <v>Quebec</v>
      </c>
      <c r="D877" s="1" t="s">
        <v>28</v>
      </c>
      <c r="E877" s="5">
        <v>40</v>
      </c>
      <c r="F877" s="1" t="s">
        <v>32</v>
      </c>
      <c r="G877" s="1" t="s">
        <v>32</v>
      </c>
      <c r="H877" t="s">
        <v>2270</v>
      </c>
      <c r="I877" s="1" t="s">
        <v>17</v>
      </c>
      <c r="J877" s="1" t="s">
        <v>25</v>
      </c>
      <c r="K877" s="1" t="s">
        <v>31</v>
      </c>
      <c r="L877" s="1" t="s">
        <v>32</v>
      </c>
      <c r="M877" s="1" t="s">
        <v>1979</v>
      </c>
      <c r="N877" s="1" t="s">
        <v>22</v>
      </c>
      <c r="O877" s="1" t="s">
        <v>2276</v>
      </c>
    </row>
    <row r="878" spans="1:15" x14ac:dyDescent="0.25">
      <c r="A878">
        <v>2030</v>
      </c>
      <c r="B878" s="1" t="s">
        <v>354</v>
      </c>
      <c r="C878" s="1" t="str">
        <f t="shared" si="13"/>
        <v>Quebec</v>
      </c>
      <c r="D878" s="1" t="s">
        <v>28</v>
      </c>
      <c r="E878" s="5">
        <v>44</v>
      </c>
      <c r="F878" s="1" t="s">
        <v>32</v>
      </c>
      <c r="G878" s="1" t="s">
        <v>1980</v>
      </c>
      <c r="H878" t="s">
        <v>2270</v>
      </c>
      <c r="I878" s="1" t="s">
        <v>17</v>
      </c>
      <c r="J878" s="1" t="s">
        <v>25</v>
      </c>
      <c r="K878" s="1" t="s">
        <v>31</v>
      </c>
      <c r="L878" s="1" t="s">
        <v>91</v>
      </c>
      <c r="M878" s="1" t="s">
        <v>1981</v>
      </c>
      <c r="N878" s="1" t="s">
        <v>22</v>
      </c>
      <c r="O878" s="1" t="s">
        <v>2276</v>
      </c>
    </row>
    <row r="879" spans="1:15" x14ac:dyDescent="0.25">
      <c r="A879">
        <v>2031</v>
      </c>
      <c r="B879" s="1" t="s">
        <v>354</v>
      </c>
      <c r="C879" s="1" t="str">
        <f t="shared" si="13"/>
        <v>Quebec</v>
      </c>
      <c r="D879" s="1" t="s">
        <v>28</v>
      </c>
      <c r="E879" s="5">
        <v>46</v>
      </c>
      <c r="F879" s="1" t="s">
        <v>1982</v>
      </c>
      <c r="G879" s="1" t="s">
        <v>32</v>
      </c>
      <c r="H879" t="s">
        <v>2270</v>
      </c>
      <c r="I879" s="1" t="s">
        <v>24</v>
      </c>
      <c r="J879" s="1" t="s">
        <v>25</v>
      </c>
      <c r="K879" s="1" t="s">
        <v>31</v>
      </c>
      <c r="L879" s="1" t="s">
        <v>91</v>
      </c>
      <c r="M879" s="1" t="s">
        <v>1983</v>
      </c>
      <c r="N879" s="1" t="s">
        <v>22</v>
      </c>
      <c r="O879" s="1" t="s">
        <v>2276</v>
      </c>
    </row>
    <row r="880" spans="1:15" x14ac:dyDescent="0.25">
      <c r="A880">
        <v>2032</v>
      </c>
      <c r="B880" s="1" t="s">
        <v>93</v>
      </c>
      <c r="C880" s="1" t="str">
        <f t="shared" si="13"/>
        <v>Alberta</v>
      </c>
      <c r="D880" s="1" t="s">
        <v>28</v>
      </c>
      <c r="E880" s="5">
        <v>53</v>
      </c>
      <c r="F880" s="1" t="s">
        <v>32</v>
      </c>
      <c r="G880" s="1" t="s">
        <v>32</v>
      </c>
      <c r="H880" t="s">
        <v>2270</v>
      </c>
      <c r="I880" s="1" t="s">
        <v>40</v>
      </c>
      <c r="J880" s="1" t="s">
        <v>25</v>
      </c>
      <c r="K880" s="1" t="s">
        <v>31</v>
      </c>
      <c r="L880" s="1" t="s">
        <v>91</v>
      </c>
      <c r="M880" s="1" t="s">
        <v>1984</v>
      </c>
      <c r="N880" s="1" t="s">
        <v>22</v>
      </c>
      <c r="O880" s="1" t="s">
        <v>2282</v>
      </c>
    </row>
    <row r="881" spans="1:15" x14ac:dyDescent="0.25">
      <c r="A881">
        <v>2033</v>
      </c>
      <c r="B881" s="1" t="s">
        <v>354</v>
      </c>
      <c r="C881" s="1" t="str">
        <f t="shared" si="13"/>
        <v>Quebec</v>
      </c>
      <c r="D881" s="1" t="s">
        <v>28</v>
      </c>
      <c r="E881" s="5">
        <v>50</v>
      </c>
      <c r="F881" s="1" t="s">
        <v>1985</v>
      </c>
      <c r="G881" s="1" t="s">
        <v>1986</v>
      </c>
      <c r="H881" t="s">
        <v>2270</v>
      </c>
      <c r="I881" s="1" t="s">
        <v>32</v>
      </c>
      <c r="J881" s="1" t="s">
        <v>232</v>
      </c>
      <c r="K881" s="1" t="s">
        <v>32</v>
      </c>
      <c r="L881" s="1" t="s">
        <v>32</v>
      </c>
      <c r="M881" s="1" t="s">
        <v>1987</v>
      </c>
      <c r="N881" s="1" t="s">
        <v>22</v>
      </c>
      <c r="O881" s="1" t="s">
        <v>2276</v>
      </c>
    </row>
    <row r="882" spans="1:15" x14ac:dyDescent="0.25">
      <c r="A882">
        <v>2034</v>
      </c>
      <c r="B882" s="1" t="s">
        <v>354</v>
      </c>
      <c r="C882" s="1" t="str">
        <f t="shared" si="13"/>
        <v>Quebec</v>
      </c>
      <c r="D882" s="1" t="s">
        <v>73</v>
      </c>
      <c r="E882" s="5">
        <v>38</v>
      </c>
      <c r="F882" s="1" t="s">
        <v>1988</v>
      </c>
      <c r="G882" s="1" t="s">
        <v>1989</v>
      </c>
      <c r="H882" t="s">
        <v>2270</v>
      </c>
      <c r="I882" s="1" t="s">
        <v>17</v>
      </c>
      <c r="J882" s="1" t="s">
        <v>25</v>
      </c>
      <c r="K882" s="1" t="s">
        <v>107</v>
      </c>
      <c r="L882" s="1" t="s">
        <v>32</v>
      </c>
      <c r="M882" s="1" t="s">
        <v>1990</v>
      </c>
      <c r="N882" s="1" t="s">
        <v>60</v>
      </c>
      <c r="O882" s="1" t="s">
        <v>2276</v>
      </c>
    </row>
    <row r="883" spans="1:15" x14ac:dyDescent="0.25">
      <c r="A883">
        <v>2035</v>
      </c>
      <c r="B883" s="1" t="s">
        <v>354</v>
      </c>
      <c r="C883" s="1" t="str">
        <f t="shared" si="13"/>
        <v>Quebec</v>
      </c>
      <c r="D883" s="1" t="s">
        <v>14</v>
      </c>
      <c r="E883" s="5">
        <v>43</v>
      </c>
      <c r="F883" s="1" t="s">
        <v>32</v>
      </c>
      <c r="G883" s="1" t="s">
        <v>32</v>
      </c>
      <c r="H883" t="s">
        <v>2270</v>
      </c>
      <c r="I883" s="1" t="s">
        <v>24</v>
      </c>
      <c r="J883" s="1" t="s">
        <v>18</v>
      </c>
      <c r="K883" s="1" t="s">
        <v>19</v>
      </c>
      <c r="L883" s="1" t="s">
        <v>32</v>
      </c>
      <c r="M883" s="1" t="s">
        <v>1991</v>
      </c>
      <c r="N883" s="1" t="s">
        <v>60</v>
      </c>
      <c r="O883" s="1" t="s">
        <v>2276</v>
      </c>
    </row>
    <row r="884" spans="1:15" x14ac:dyDescent="0.25">
      <c r="A884">
        <v>2036</v>
      </c>
      <c r="B884" s="1" t="s">
        <v>354</v>
      </c>
      <c r="C884" s="1" t="str">
        <f t="shared" si="13"/>
        <v>Quebec</v>
      </c>
      <c r="D884" s="1" t="s">
        <v>14</v>
      </c>
      <c r="E884" s="5">
        <v>43</v>
      </c>
      <c r="F884" s="1" t="s">
        <v>32</v>
      </c>
      <c r="G884" s="1" t="s">
        <v>32</v>
      </c>
      <c r="H884" t="s">
        <v>2270</v>
      </c>
      <c r="I884" s="1" t="s">
        <v>24</v>
      </c>
      <c r="J884" s="1" t="s">
        <v>18</v>
      </c>
      <c r="K884" s="1" t="s">
        <v>19</v>
      </c>
      <c r="L884" s="1" t="s">
        <v>419</v>
      </c>
      <c r="M884" s="1" t="s">
        <v>1992</v>
      </c>
      <c r="N884" s="1" t="s">
        <v>60</v>
      </c>
      <c r="O884" s="1" t="s">
        <v>2276</v>
      </c>
    </row>
    <row r="885" spans="1:15" x14ac:dyDescent="0.25">
      <c r="A885">
        <v>2037</v>
      </c>
      <c r="B885" s="1" t="s">
        <v>354</v>
      </c>
      <c r="C885" s="1" t="str">
        <f t="shared" si="13"/>
        <v>Quebec</v>
      </c>
      <c r="D885" s="1" t="s">
        <v>28</v>
      </c>
      <c r="E885" s="5">
        <v>50</v>
      </c>
      <c r="F885" s="1" t="s">
        <v>32</v>
      </c>
      <c r="G885" s="1" t="s">
        <v>32</v>
      </c>
      <c r="H885" t="s">
        <v>2270</v>
      </c>
      <c r="I885" s="1" t="s">
        <v>40</v>
      </c>
      <c r="J885" s="1" t="s">
        <v>44</v>
      </c>
      <c r="K885" s="1" t="s">
        <v>31</v>
      </c>
      <c r="L885" s="1" t="s">
        <v>91</v>
      </c>
      <c r="M885" s="1" t="s">
        <v>1993</v>
      </c>
      <c r="N885" s="1" t="s">
        <v>22</v>
      </c>
      <c r="O885" s="1" t="s">
        <v>2276</v>
      </c>
    </row>
    <row r="886" spans="1:15" x14ac:dyDescent="0.25">
      <c r="A886">
        <v>2038</v>
      </c>
      <c r="B886" s="1" t="s">
        <v>354</v>
      </c>
      <c r="C886" s="1" t="str">
        <f t="shared" si="13"/>
        <v>Quebec</v>
      </c>
      <c r="D886" s="1" t="s">
        <v>28</v>
      </c>
      <c r="E886" s="5">
        <v>39</v>
      </c>
      <c r="F886" s="1" t="s">
        <v>32</v>
      </c>
      <c r="G886" s="1" t="s">
        <v>32</v>
      </c>
      <c r="H886" t="s">
        <v>2270</v>
      </c>
      <c r="I886" s="1" t="s">
        <v>24</v>
      </c>
      <c r="J886" s="1" t="s">
        <v>44</v>
      </c>
      <c r="K886" s="1" t="s">
        <v>31</v>
      </c>
      <c r="L886" s="1" t="s">
        <v>91</v>
      </c>
      <c r="M886" s="1" t="s">
        <v>1994</v>
      </c>
      <c r="N886" s="1" t="s">
        <v>60</v>
      </c>
      <c r="O886" s="1" t="s">
        <v>2276</v>
      </c>
    </row>
    <row r="887" spans="1:15" x14ac:dyDescent="0.25">
      <c r="A887">
        <v>2039</v>
      </c>
      <c r="B887" s="1" t="s">
        <v>354</v>
      </c>
      <c r="C887" s="1" t="str">
        <f t="shared" si="13"/>
        <v>Quebec</v>
      </c>
      <c r="D887" s="1" t="s">
        <v>28</v>
      </c>
      <c r="E887" s="5">
        <v>55</v>
      </c>
      <c r="F887" s="1" t="s">
        <v>32</v>
      </c>
      <c r="G887" s="1" t="s">
        <v>32</v>
      </c>
      <c r="H887" t="s">
        <v>2270</v>
      </c>
      <c r="I887" s="1" t="s">
        <v>40</v>
      </c>
      <c r="J887" s="1" t="s">
        <v>44</v>
      </c>
      <c r="K887" s="1" t="s">
        <v>31</v>
      </c>
      <c r="L887" s="1" t="s">
        <v>91</v>
      </c>
      <c r="M887" s="1" t="s">
        <v>1995</v>
      </c>
      <c r="N887" s="1" t="s">
        <v>22</v>
      </c>
      <c r="O887" s="1" t="s">
        <v>2276</v>
      </c>
    </row>
    <row r="888" spans="1:15" x14ac:dyDescent="0.25">
      <c r="A888">
        <v>2040</v>
      </c>
      <c r="B888" s="1" t="s">
        <v>354</v>
      </c>
      <c r="C888" s="1" t="str">
        <f t="shared" si="13"/>
        <v>Quebec</v>
      </c>
      <c r="D888" s="1" t="s">
        <v>28</v>
      </c>
      <c r="E888" s="5">
        <v>60</v>
      </c>
      <c r="F888" s="1" t="s">
        <v>1996</v>
      </c>
      <c r="G888" s="1" t="s">
        <v>32</v>
      </c>
      <c r="H888" t="s">
        <v>2270</v>
      </c>
      <c r="I888" s="1" t="s">
        <v>40</v>
      </c>
      <c r="J888" s="1" t="s">
        <v>44</v>
      </c>
      <c r="K888" s="1" t="s">
        <v>31</v>
      </c>
      <c r="L888" s="1" t="s">
        <v>32</v>
      </c>
      <c r="M888" s="1" t="s">
        <v>1997</v>
      </c>
      <c r="N888" s="1" t="s">
        <v>22</v>
      </c>
      <c r="O888" s="1" t="s">
        <v>2276</v>
      </c>
    </row>
    <row r="889" spans="1:15" x14ac:dyDescent="0.25">
      <c r="A889">
        <v>2041</v>
      </c>
      <c r="B889" s="1" t="s">
        <v>354</v>
      </c>
      <c r="C889" s="1" t="str">
        <f t="shared" si="13"/>
        <v>Quebec</v>
      </c>
      <c r="D889" s="1" t="s">
        <v>28</v>
      </c>
      <c r="E889" s="5">
        <v>52</v>
      </c>
      <c r="F889" s="1" t="s">
        <v>1998</v>
      </c>
      <c r="G889" s="1" t="s">
        <v>32</v>
      </c>
      <c r="H889" t="s">
        <v>2270</v>
      </c>
      <c r="I889" s="1" t="s">
        <v>43</v>
      </c>
      <c r="J889" s="1" t="s">
        <v>44</v>
      </c>
      <c r="K889" s="1" t="s">
        <v>31</v>
      </c>
      <c r="L889" s="1" t="s">
        <v>91</v>
      </c>
      <c r="M889" s="1" t="s">
        <v>1999</v>
      </c>
      <c r="N889" s="1" t="s">
        <v>22</v>
      </c>
      <c r="O889" s="1" t="s">
        <v>2276</v>
      </c>
    </row>
    <row r="890" spans="1:15" x14ac:dyDescent="0.25">
      <c r="A890">
        <v>2042</v>
      </c>
      <c r="B890" s="1" t="s">
        <v>354</v>
      </c>
      <c r="C890" s="1" t="str">
        <f t="shared" si="13"/>
        <v>Quebec</v>
      </c>
      <c r="D890" s="1" t="s">
        <v>28</v>
      </c>
      <c r="E890" s="5">
        <v>42</v>
      </c>
      <c r="F890" s="1" t="s">
        <v>32</v>
      </c>
      <c r="G890" s="1" t="s">
        <v>32</v>
      </c>
      <c r="H890" t="s">
        <v>2270</v>
      </c>
      <c r="I890" s="1" t="s">
        <v>24</v>
      </c>
      <c r="J890" s="1" t="s">
        <v>44</v>
      </c>
      <c r="K890" s="1" t="s">
        <v>31</v>
      </c>
      <c r="L890" s="1" t="s">
        <v>91</v>
      </c>
      <c r="M890" s="1" t="s">
        <v>2000</v>
      </c>
      <c r="N890" s="1" t="s">
        <v>22</v>
      </c>
      <c r="O890" s="1" t="s">
        <v>2276</v>
      </c>
    </row>
    <row r="891" spans="1:15" x14ac:dyDescent="0.25">
      <c r="A891">
        <v>2043</v>
      </c>
      <c r="B891" s="1" t="s">
        <v>354</v>
      </c>
      <c r="C891" s="1" t="str">
        <f t="shared" si="13"/>
        <v>Quebec</v>
      </c>
      <c r="D891" s="1" t="s">
        <v>28</v>
      </c>
      <c r="E891" s="5">
        <v>40</v>
      </c>
      <c r="F891" s="1" t="s">
        <v>32</v>
      </c>
      <c r="G891" s="1" t="s">
        <v>32</v>
      </c>
      <c r="H891" t="s">
        <v>2270</v>
      </c>
      <c r="I891" s="1" t="s">
        <v>17</v>
      </c>
      <c r="J891" s="1" t="s">
        <v>18</v>
      </c>
      <c r="K891" s="1" t="s">
        <v>19</v>
      </c>
      <c r="L891" s="1" t="s">
        <v>20</v>
      </c>
      <c r="M891" s="1" t="s">
        <v>2001</v>
      </c>
      <c r="N891" s="1" t="s">
        <v>22</v>
      </c>
      <c r="O891" s="1" t="s">
        <v>2276</v>
      </c>
    </row>
    <row r="892" spans="1:15" x14ac:dyDescent="0.25">
      <c r="A892">
        <v>2044</v>
      </c>
      <c r="B892" s="1" t="s">
        <v>354</v>
      </c>
      <c r="C892" s="1" t="str">
        <f t="shared" si="13"/>
        <v>Quebec</v>
      </c>
      <c r="D892" s="1" t="s">
        <v>28</v>
      </c>
      <c r="E892" s="5">
        <v>50</v>
      </c>
      <c r="F892" s="1" t="s">
        <v>32</v>
      </c>
      <c r="G892" s="1" t="s">
        <v>32</v>
      </c>
      <c r="H892" t="s">
        <v>2270</v>
      </c>
      <c r="I892" s="1" t="s">
        <v>43</v>
      </c>
      <c r="J892" s="1" t="s">
        <v>44</v>
      </c>
      <c r="K892" s="1" t="s">
        <v>31</v>
      </c>
      <c r="L892" s="1" t="s">
        <v>20</v>
      </c>
      <c r="M892" s="1" t="s">
        <v>2002</v>
      </c>
      <c r="N892" s="1" t="s">
        <v>22</v>
      </c>
      <c r="O892" s="1" t="s">
        <v>2276</v>
      </c>
    </row>
    <row r="893" spans="1:15" x14ac:dyDescent="0.25">
      <c r="A893">
        <v>2045</v>
      </c>
      <c r="B893" s="1" t="s">
        <v>354</v>
      </c>
      <c r="C893" s="1" t="str">
        <f t="shared" si="13"/>
        <v>Quebec</v>
      </c>
      <c r="D893" s="1" t="s">
        <v>28</v>
      </c>
      <c r="E893" s="5">
        <v>50</v>
      </c>
      <c r="F893" s="1" t="s">
        <v>32</v>
      </c>
      <c r="G893" s="1" t="s">
        <v>32</v>
      </c>
      <c r="H893" t="s">
        <v>2270</v>
      </c>
      <c r="I893" s="1" t="s">
        <v>43</v>
      </c>
      <c r="J893" s="1" t="s">
        <v>2003</v>
      </c>
      <c r="K893" s="1" t="s">
        <v>31</v>
      </c>
      <c r="L893" s="1" t="s">
        <v>32</v>
      </c>
      <c r="M893" s="1" t="s">
        <v>2004</v>
      </c>
      <c r="N893" s="1" t="s">
        <v>22</v>
      </c>
      <c r="O893" s="1" t="s">
        <v>2276</v>
      </c>
    </row>
    <row r="894" spans="1:15" x14ac:dyDescent="0.25">
      <c r="A894">
        <v>2046</v>
      </c>
      <c r="B894" s="1" t="s">
        <v>354</v>
      </c>
      <c r="C894" s="1" t="str">
        <f t="shared" si="13"/>
        <v>Quebec</v>
      </c>
      <c r="D894" s="1" t="s">
        <v>73</v>
      </c>
      <c r="E894" s="5">
        <v>40</v>
      </c>
      <c r="F894" s="1" t="s">
        <v>32</v>
      </c>
      <c r="G894" s="1" t="s">
        <v>32</v>
      </c>
      <c r="H894" t="s">
        <v>2270</v>
      </c>
      <c r="I894" s="1" t="s">
        <v>32</v>
      </c>
      <c r="J894" s="1" t="s">
        <v>44</v>
      </c>
      <c r="K894" s="1" t="s">
        <v>32</v>
      </c>
      <c r="L894" s="1" t="s">
        <v>32</v>
      </c>
      <c r="M894" s="1" t="s">
        <v>2005</v>
      </c>
      <c r="N894" s="1" t="s">
        <v>22</v>
      </c>
      <c r="O894" s="1" t="s">
        <v>2276</v>
      </c>
    </row>
    <row r="895" spans="1:15" x14ac:dyDescent="0.25">
      <c r="A895">
        <v>2049</v>
      </c>
      <c r="B895" s="1" t="s">
        <v>354</v>
      </c>
      <c r="C895" s="1" t="str">
        <f t="shared" si="13"/>
        <v>Quebec</v>
      </c>
      <c r="D895" s="1" t="s">
        <v>73</v>
      </c>
      <c r="E895" s="5">
        <v>41</v>
      </c>
      <c r="F895" s="1" t="s">
        <v>32</v>
      </c>
      <c r="G895" s="1" t="s">
        <v>32</v>
      </c>
      <c r="H895" t="s">
        <v>2270</v>
      </c>
      <c r="I895" s="1" t="s">
        <v>32</v>
      </c>
      <c r="J895" s="1" t="s">
        <v>44</v>
      </c>
      <c r="K895" s="1" t="s">
        <v>32</v>
      </c>
      <c r="L895" s="1" t="s">
        <v>32</v>
      </c>
      <c r="M895" s="1" t="s">
        <v>2006</v>
      </c>
      <c r="N895" s="1" t="s">
        <v>22</v>
      </c>
      <c r="O895" s="1" t="s">
        <v>2276</v>
      </c>
    </row>
    <row r="896" spans="1:15" x14ac:dyDescent="0.25">
      <c r="A896">
        <v>2053</v>
      </c>
      <c r="B896" s="1" t="s">
        <v>354</v>
      </c>
      <c r="C896" s="1" t="str">
        <f t="shared" si="13"/>
        <v>Quebec</v>
      </c>
      <c r="D896" s="1" t="s">
        <v>73</v>
      </c>
      <c r="E896" s="5">
        <v>55</v>
      </c>
      <c r="F896" s="1" t="s">
        <v>32</v>
      </c>
      <c r="G896" s="1" t="s">
        <v>32</v>
      </c>
      <c r="H896" t="s">
        <v>2270</v>
      </c>
      <c r="I896" s="1" t="s">
        <v>40</v>
      </c>
      <c r="J896" s="1" t="s">
        <v>25</v>
      </c>
      <c r="K896" s="1" t="s">
        <v>19</v>
      </c>
      <c r="L896" s="1" t="s">
        <v>45</v>
      </c>
      <c r="M896" s="1" t="s">
        <v>2007</v>
      </c>
      <c r="N896" s="1" t="s">
        <v>22</v>
      </c>
      <c r="O896" s="1" t="s">
        <v>2276</v>
      </c>
    </row>
    <row r="897" spans="1:15" x14ac:dyDescent="0.25">
      <c r="A897">
        <v>2054</v>
      </c>
      <c r="B897" s="1" t="s">
        <v>354</v>
      </c>
      <c r="C897" s="1" t="str">
        <f t="shared" si="13"/>
        <v>Quebec</v>
      </c>
      <c r="D897" s="1" t="s">
        <v>73</v>
      </c>
      <c r="E897" s="5">
        <v>42</v>
      </c>
      <c r="F897" s="1" t="s">
        <v>32</v>
      </c>
      <c r="G897" s="1" t="s">
        <v>32</v>
      </c>
      <c r="H897" t="s">
        <v>2270</v>
      </c>
      <c r="I897" s="1" t="s">
        <v>17</v>
      </c>
      <c r="J897" s="1" t="s">
        <v>18</v>
      </c>
      <c r="K897" s="1" t="s">
        <v>31</v>
      </c>
      <c r="L897" s="1" t="s">
        <v>32</v>
      </c>
      <c r="M897" s="1" t="s">
        <v>2008</v>
      </c>
      <c r="N897" s="1" t="s">
        <v>60</v>
      </c>
      <c r="O897" s="1" t="s">
        <v>2276</v>
      </c>
    </row>
    <row r="898" spans="1:15" x14ac:dyDescent="0.25">
      <c r="A898">
        <v>2055</v>
      </c>
      <c r="B898" s="1" t="s">
        <v>354</v>
      </c>
      <c r="C898" s="1" t="str">
        <f t="shared" ref="C898:C961" si="14">IF(B898="NB","New Brunswick",IF(B898="AB","Alberta",IF(B898="BC","British Columbia",IF(B898="MB","Manitoba",IF(B898="NL","Newfoundland and Labrador",IF(B898="NS","Nova Scotia",IF(B898="ON","Ontario",IF(B898="PE","Prince Edward Island",IF(B898="QC","Quebec",IF(B898="SK","Saskatchewan",""))))))))))</f>
        <v>Quebec</v>
      </c>
      <c r="D898" s="1" t="s">
        <v>73</v>
      </c>
      <c r="E898" s="5">
        <v>45</v>
      </c>
      <c r="F898" s="1" t="s">
        <v>32</v>
      </c>
      <c r="G898" s="1" t="s">
        <v>32</v>
      </c>
      <c r="H898" t="s">
        <v>2270</v>
      </c>
      <c r="I898" s="1" t="s">
        <v>35</v>
      </c>
      <c r="J898" s="1" t="s">
        <v>25</v>
      </c>
      <c r="K898" s="1" t="s">
        <v>31</v>
      </c>
      <c r="L898" s="1" t="s">
        <v>32</v>
      </c>
      <c r="M898" s="1" t="s">
        <v>2009</v>
      </c>
      <c r="N898" s="1" t="s">
        <v>60</v>
      </c>
      <c r="O898" s="1" t="s">
        <v>2276</v>
      </c>
    </row>
    <row r="899" spans="1:15" x14ac:dyDescent="0.25">
      <c r="A899">
        <v>2056</v>
      </c>
      <c r="B899" s="1" t="s">
        <v>354</v>
      </c>
      <c r="C899" s="1" t="str">
        <f t="shared" si="14"/>
        <v>Quebec</v>
      </c>
      <c r="D899" s="1" t="s">
        <v>73</v>
      </c>
      <c r="E899" s="5">
        <v>42</v>
      </c>
      <c r="F899" s="1" t="s">
        <v>32</v>
      </c>
      <c r="G899" s="1" t="s">
        <v>2010</v>
      </c>
      <c r="H899" t="s">
        <v>2270</v>
      </c>
      <c r="I899" s="1" t="s">
        <v>40</v>
      </c>
      <c r="J899" s="1" t="s">
        <v>25</v>
      </c>
      <c r="K899" s="1" t="s">
        <v>31</v>
      </c>
      <c r="L899" s="1" t="s">
        <v>91</v>
      </c>
      <c r="M899" s="1" t="s">
        <v>2011</v>
      </c>
      <c r="N899" s="1" t="s">
        <v>60</v>
      </c>
      <c r="O899" s="1" t="s">
        <v>2276</v>
      </c>
    </row>
    <row r="900" spans="1:15" x14ac:dyDescent="0.25">
      <c r="A900">
        <v>2057</v>
      </c>
      <c r="B900" s="1" t="s">
        <v>354</v>
      </c>
      <c r="C900" s="1" t="str">
        <f t="shared" si="14"/>
        <v>Quebec</v>
      </c>
      <c r="D900" s="1" t="s">
        <v>73</v>
      </c>
      <c r="E900" s="5">
        <v>48</v>
      </c>
      <c r="F900" s="1" t="s">
        <v>32</v>
      </c>
      <c r="G900" s="1" t="s">
        <v>32</v>
      </c>
      <c r="H900" t="s">
        <v>2270</v>
      </c>
      <c r="I900" s="1" t="s">
        <v>24</v>
      </c>
      <c r="J900" s="1" t="s">
        <v>25</v>
      </c>
      <c r="K900" s="1" t="s">
        <v>31</v>
      </c>
      <c r="L900" s="1" t="s">
        <v>32</v>
      </c>
      <c r="M900" s="1" t="s">
        <v>2012</v>
      </c>
      <c r="N900" s="1" t="s">
        <v>22</v>
      </c>
      <c r="O900" s="1" t="s">
        <v>2276</v>
      </c>
    </row>
    <row r="901" spans="1:15" x14ac:dyDescent="0.25">
      <c r="A901">
        <v>2058</v>
      </c>
      <c r="B901" s="1" t="s">
        <v>354</v>
      </c>
      <c r="C901" s="1" t="str">
        <f t="shared" si="14"/>
        <v>Quebec</v>
      </c>
      <c r="D901" s="1" t="s">
        <v>73</v>
      </c>
      <c r="E901" s="5">
        <v>45</v>
      </c>
      <c r="F901" s="1" t="s">
        <v>32</v>
      </c>
      <c r="G901" s="1" t="s">
        <v>32</v>
      </c>
      <c r="H901" t="s">
        <v>2270</v>
      </c>
      <c r="I901" s="1" t="s">
        <v>24</v>
      </c>
      <c r="J901" s="1" t="s">
        <v>25</v>
      </c>
      <c r="K901" s="1" t="s">
        <v>31</v>
      </c>
      <c r="L901" s="1" t="s">
        <v>20</v>
      </c>
      <c r="M901" s="1" t="s">
        <v>2013</v>
      </c>
      <c r="N901" s="1" t="s">
        <v>60</v>
      </c>
      <c r="O901" s="1" t="s">
        <v>2276</v>
      </c>
    </row>
    <row r="902" spans="1:15" x14ac:dyDescent="0.25">
      <c r="A902">
        <v>2059</v>
      </c>
      <c r="B902" s="1" t="s">
        <v>354</v>
      </c>
      <c r="C902" s="1" t="str">
        <f t="shared" si="14"/>
        <v>Quebec</v>
      </c>
      <c r="D902" s="1" t="s">
        <v>73</v>
      </c>
      <c r="E902" s="5">
        <v>50</v>
      </c>
      <c r="F902" s="1" t="s">
        <v>32</v>
      </c>
      <c r="G902" s="1" t="s">
        <v>32</v>
      </c>
      <c r="H902" t="s">
        <v>2270</v>
      </c>
      <c r="I902" s="1" t="s">
        <v>32</v>
      </c>
      <c r="J902" s="1" t="s">
        <v>44</v>
      </c>
      <c r="K902" s="1" t="s">
        <v>31</v>
      </c>
      <c r="L902" s="1" t="s">
        <v>45</v>
      </c>
      <c r="M902" s="1" t="s">
        <v>2014</v>
      </c>
      <c r="N902" s="1" t="s">
        <v>22</v>
      </c>
      <c r="O902" s="1" t="s">
        <v>2276</v>
      </c>
    </row>
    <row r="903" spans="1:15" x14ac:dyDescent="0.25">
      <c r="A903">
        <v>2060</v>
      </c>
      <c r="B903" s="1" t="s">
        <v>27</v>
      </c>
      <c r="C903" s="1" t="str">
        <f t="shared" si="14"/>
        <v>Ontario</v>
      </c>
      <c r="D903" s="1" t="s">
        <v>73</v>
      </c>
      <c r="E903" s="5">
        <v>42.6</v>
      </c>
      <c r="F903" s="1" t="s">
        <v>2015</v>
      </c>
      <c r="G903" s="1" t="s">
        <v>32</v>
      </c>
      <c r="H903" t="s">
        <v>2270</v>
      </c>
      <c r="I903" s="1" t="s">
        <v>64</v>
      </c>
      <c r="J903" s="1" t="s">
        <v>44</v>
      </c>
      <c r="K903" s="1" t="s">
        <v>32</v>
      </c>
      <c r="L903" s="1" t="s">
        <v>32</v>
      </c>
      <c r="M903" s="1" t="s">
        <v>2016</v>
      </c>
      <c r="N903" s="1" t="s">
        <v>22</v>
      </c>
      <c r="O903" s="1" t="s">
        <v>2275</v>
      </c>
    </row>
    <row r="904" spans="1:15" x14ac:dyDescent="0.25">
      <c r="A904">
        <v>2070</v>
      </c>
      <c r="B904" s="1" t="s">
        <v>27</v>
      </c>
      <c r="C904" s="1" t="str">
        <f t="shared" si="14"/>
        <v>Ontario</v>
      </c>
      <c r="D904" s="1" t="s">
        <v>73</v>
      </c>
      <c r="E904" s="5">
        <v>47.06</v>
      </c>
      <c r="F904" s="1" t="s">
        <v>32</v>
      </c>
      <c r="G904" s="1" t="s">
        <v>32</v>
      </c>
      <c r="H904" t="s">
        <v>2270</v>
      </c>
      <c r="I904" s="1" t="s">
        <v>43</v>
      </c>
      <c r="J904" s="1" t="s">
        <v>18</v>
      </c>
      <c r="K904" s="1" t="s">
        <v>31</v>
      </c>
      <c r="L904" s="1" t="s">
        <v>45</v>
      </c>
      <c r="M904" s="1" t="s">
        <v>2017</v>
      </c>
      <c r="N904" s="1" t="s">
        <v>22</v>
      </c>
      <c r="O904" s="1" t="s">
        <v>2275</v>
      </c>
    </row>
    <row r="905" spans="1:15" x14ac:dyDescent="0.25">
      <c r="A905">
        <v>2071</v>
      </c>
      <c r="B905" s="1" t="s">
        <v>27</v>
      </c>
      <c r="C905" s="1" t="str">
        <f t="shared" si="14"/>
        <v>Ontario</v>
      </c>
      <c r="D905" s="1" t="s">
        <v>73</v>
      </c>
      <c r="E905" s="5">
        <v>75</v>
      </c>
      <c r="F905" s="1" t="s">
        <v>32</v>
      </c>
      <c r="G905" s="1" t="s">
        <v>32</v>
      </c>
      <c r="H905" t="s">
        <v>2270</v>
      </c>
      <c r="I905" s="1" t="s">
        <v>40</v>
      </c>
      <c r="J905" s="1" t="s">
        <v>18</v>
      </c>
      <c r="K905" s="1" t="s">
        <v>31</v>
      </c>
      <c r="L905" s="1" t="s">
        <v>91</v>
      </c>
      <c r="M905" s="1" t="s">
        <v>2018</v>
      </c>
      <c r="N905" s="1" t="s">
        <v>22</v>
      </c>
      <c r="O905" s="1" t="s">
        <v>2275</v>
      </c>
    </row>
    <row r="906" spans="1:15" x14ac:dyDescent="0.25">
      <c r="A906">
        <v>2076</v>
      </c>
      <c r="B906" s="1" t="s">
        <v>93</v>
      </c>
      <c r="C906" s="1" t="str">
        <f t="shared" si="14"/>
        <v>Alberta</v>
      </c>
      <c r="D906" s="1" t="s">
        <v>28</v>
      </c>
      <c r="E906" s="5">
        <v>52</v>
      </c>
      <c r="F906" s="1" t="s">
        <v>32</v>
      </c>
      <c r="G906" s="1" t="s">
        <v>32</v>
      </c>
      <c r="H906" t="s">
        <v>2270</v>
      </c>
      <c r="I906" s="1" t="s">
        <v>32</v>
      </c>
      <c r="J906" s="1" t="s">
        <v>25</v>
      </c>
      <c r="K906" s="1" t="s">
        <v>32</v>
      </c>
      <c r="L906" s="1" t="s">
        <v>91</v>
      </c>
      <c r="M906" s="1" t="s">
        <v>2019</v>
      </c>
      <c r="N906" s="1" t="s">
        <v>22</v>
      </c>
      <c r="O906" s="1" t="s">
        <v>2282</v>
      </c>
    </row>
    <row r="907" spans="1:15" x14ac:dyDescent="0.25">
      <c r="A907">
        <v>2077</v>
      </c>
      <c r="B907" s="1" t="s">
        <v>93</v>
      </c>
      <c r="C907" s="1" t="str">
        <f t="shared" si="14"/>
        <v>Alberta</v>
      </c>
      <c r="D907" s="1" t="s">
        <v>28</v>
      </c>
      <c r="E907" s="5">
        <v>45</v>
      </c>
      <c r="F907" s="1" t="s">
        <v>32</v>
      </c>
      <c r="G907" s="1" t="s">
        <v>32</v>
      </c>
      <c r="H907" t="s">
        <v>2270</v>
      </c>
      <c r="I907" s="1" t="s">
        <v>32</v>
      </c>
      <c r="J907" s="1" t="s">
        <v>25</v>
      </c>
      <c r="K907" s="1" t="s">
        <v>32</v>
      </c>
      <c r="L907" s="1" t="s">
        <v>32</v>
      </c>
      <c r="M907" s="1" t="s">
        <v>2020</v>
      </c>
      <c r="N907" s="1" t="s">
        <v>22</v>
      </c>
      <c r="O907" s="1" t="s">
        <v>2282</v>
      </c>
    </row>
    <row r="908" spans="1:15" x14ac:dyDescent="0.25">
      <c r="A908">
        <v>2086</v>
      </c>
      <c r="B908" s="1" t="s">
        <v>147</v>
      </c>
      <c r="C908" s="1" t="str">
        <f t="shared" si="14"/>
        <v>Manitoba</v>
      </c>
      <c r="D908" s="1" t="s">
        <v>14</v>
      </c>
      <c r="E908" s="5">
        <v>42</v>
      </c>
      <c r="F908" s="1" t="s">
        <v>32</v>
      </c>
      <c r="G908" s="1" t="s">
        <v>32</v>
      </c>
      <c r="H908" t="s">
        <v>2270</v>
      </c>
      <c r="I908" s="1" t="s">
        <v>32</v>
      </c>
      <c r="J908" s="1" t="s">
        <v>25</v>
      </c>
      <c r="K908" s="1" t="s">
        <v>32</v>
      </c>
      <c r="L908" s="1" t="s">
        <v>32</v>
      </c>
      <c r="M908" s="1" t="s">
        <v>2021</v>
      </c>
      <c r="N908" s="1" t="s">
        <v>22</v>
      </c>
      <c r="O908" s="1" t="s">
        <v>2283</v>
      </c>
    </row>
    <row r="909" spans="1:15" x14ac:dyDescent="0.25">
      <c r="A909">
        <v>2088</v>
      </c>
      <c r="B909" s="1" t="s">
        <v>57</v>
      </c>
      <c r="C909" s="1" t="str">
        <f t="shared" si="14"/>
        <v>British Columbia</v>
      </c>
      <c r="D909" s="1" t="s">
        <v>73</v>
      </c>
      <c r="E909" s="5">
        <v>43</v>
      </c>
      <c r="F909" s="1" t="s">
        <v>2022</v>
      </c>
      <c r="G909" s="1" t="s">
        <v>32</v>
      </c>
      <c r="H909" t="s">
        <v>2270</v>
      </c>
      <c r="I909" s="1" t="s">
        <v>17</v>
      </c>
      <c r="J909" s="1" t="s">
        <v>25</v>
      </c>
      <c r="K909" s="1" t="s">
        <v>32</v>
      </c>
      <c r="L909" s="1" t="s">
        <v>32</v>
      </c>
      <c r="M909" s="1" t="s">
        <v>183</v>
      </c>
      <c r="N909" s="1" t="s">
        <v>60</v>
      </c>
      <c r="O909" s="1" t="s">
        <v>2274</v>
      </c>
    </row>
    <row r="910" spans="1:15" x14ac:dyDescent="0.25">
      <c r="A910">
        <v>2089</v>
      </c>
      <c r="B910" s="1" t="s">
        <v>57</v>
      </c>
      <c r="C910" s="1" t="str">
        <f t="shared" si="14"/>
        <v>British Columbia</v>
      </c>
      <c r="D910" s="1" t="s">
        <v>73</v>
      </c>
      <c r="E910" s="5">
        <v>39</v>
      </c>
      <c r="F910" s="1" t="s">
        <v>32</v>
      </c>
      <c r="G910" s="1" t="s">
        <v>32</v>
      </c>
      <c r="H910" t="s">
        <v>2270</v>
      </c>
      <c r="I910" s="1" t="s">
        <v>17</v>
      </c>
      <c r="J910" s="1" t="s">
        <v>25</v>
      </c>
      <c r="K910" s="1" t="s">
        <v>32</v>
      </c>
      <c r="L910" s="1" t="s">
        <v>91</v>
      </c>
      <c r="M910" s="1" t="s">
        <v>2023</v>
      </c>
      <c r="N910" s="1" t="s">
        <v>60</v>
      </c>
      <c r="O910" s="1" t="s">
        <v>2274</v>
      </c>
    </row>
    <row r="911" spans="1:15" x14ac:dyDescent="0.25">
      <c r="A911">
        <v>2090</v>
      </c>
      <c r="B911" s="1" t="s">
        <v>57</v>
      </c>
      <c r="C911" s="1" t="str">
        <f t="shared" si="14"/>
        <v>British Columbia</v>
      </c>
      <c r="D911" s="1" t="s">
        <v>73</v>
      </c>
      <c r="E911" s="5">
        <v>60</v>
      </c>
      <c r="F911" s="1" t="s">
        <v>32</v>
      </c>
      <c r="G911" s="1" t="s">
        <v>32</v>
      </c>
      <c r="H911" t="s">
        <v>2270</v>
      </c>
      <c r="I911" s="1" t="s">
        <v>40</v>
      </c>
      <c r="J911" s="1" t="s">
        <v>25</v>
      </c>
      <c r="K911" s="1" t="s">
        <v>32</v>
      </c>
      <c r="L911" s="1" t="s">
        <v>91</v>
      </c>
      <c r="M911" s="1" t="s">
        <v>2024</v>
      </c>
      <c r="N911" s="1" t="s">
        <v>22</v>
      </c>
      <c r="O911" s="1" t="s">
        <v>2274</v>
      </c>
    </row>
    <row r="912" spans="1:15" x14ac:dyDescent="0.25">
      <c r="A912">
        <v>2094</v>
      </c>
      <c r="B912" s="1" t="s">
        <v>158</v>
      </c>
      <c r="C912" s="1" t="str">
        <f t="shared" si="14"/>
        <v>Newfoundland and Labrador</v>
      </c>
      <c r="D912" s="1" t="s">
        <v>28</v>
      </c>
      <c r="E912" s="5">
        <v>40</v>
      </c>
      <c r="F912" s="1" t="s">
        <v>32</v>
      </c>
      <c r="G912" s="1" t="s">
        <v>32</v>
      </c>
      <c r="H912" t="s">
        <v>2270</v>
      </c>
      <c r="I912" s="1" t="s">
        <v>32</v>
      </c>
      <c r="J912" s="1" t="s">
        <v>25</v>
      </c>
      <c r="K912" s="1" t="s">
        <v>32</v>
      </c>
      <c r="L912" s="1" t="s">
        <v>91</v>
      </c>
      <c r="M912" s="1" t="s">
        <v>2025</v>
      </c>
      <c r="N912" s="1" t="s">
        <v>22</v>
      </c>
      <c r="O912" s="1" t="s">
        <v>2285</v>
      </c>
    </row>
    <row r="913" spans="1:15" x14ac:dyDescent="0.25">
      <c r="A913">
        <v>2101</v>
      </c>
      <c r="B913" s="1" t="s">
        <v>27</v>
      </c>
      <c r="C913" s="1" t="str">
        <f t="shared" si="14"/>
        <v>Ontario</v>
      </c>
      <c r="D913" s="1" t="s">
        <v>28</v>
      </c>
      <c r="E913" s="5">
        <v>37</v>
      </c>
      <c r="F913" s="1" t="s">
        <v>32</v>
      </c>
      <c r="G913" s="1" t="s">
        <v>32</v>
      </c>
      <c r="H913" t="s">
        <v>2270</v>
      </c>
      <c r="I913" s="1" t="s">
        <v>32</v>
      </c>
      <c r="J913" s="1" t="s">
        <v>25</v>
      </c>
      <c r="K913" s="1" t="s">
        <v>32</v>
      </c>
      <c r="L913" s="1" t="s">
        <v>91</v>
      </c>
      <c r="M913" s="1" t="s">
        <v>2026</v>
      </c>
      <c r="N913" s="1" t="s">
        <v>60</v>
      </c>
      <c r="O913" s="1" t="s">
        <v>2275</v>
      </c>
    </row>
    <row r="914" spans="1:15" x14ac:dyDescent="0.25">
      <c r="A914">
        <v>2103</v>
      </c>
      <c r="B914" s="1" t="s">
        <v>27</v>
      </c>
      <c r="C914" s="1" t="str">
        <f t="shared" si="14"/>
        <v>Ontario</v>
      </c>
      <c r="D914" s="1" t="s">
        <v>28</v>
      </c>
      <c r="E914" s="5">
        <v>46</v>
      </c>
      <c r="F914" s="1" t="s">
        <v>32</v>
      </c>
      <c r="G914" s="1" t="s">
        <v>32</v>
      </c>
      <c r="H914" t="s">
        <v>2270</v>
      </c>
      <c r="I914" s="1" t="s">
        <v>32</v>
      </c>
      <c r="J914" s="1" t="s">
        <v>25</v>
      </c>
      <c r="K914" s="1" t="s">
        <v>32</v>
      </c>
      <c r="L914" s="1" t="s">
        <v>32</v>
      </c>
      <c r="M914" s="1" t="s">
        <v>2027</v>
      </c>
      <c r="N914" s="1" t="s">
        <v>22</v>
      </c>
      <c r="O914" s="1" t="s">
        <v>2275</v>
      </c>
    </row>
    <row r="915" spans="1:15" x14ac:dyDescent="0.25">
      <c r="A915">
        <v>2104</v>
      </c>
      <c r="B915" s="1" t="s">
        <v>27</v>
      </c>
      <c r="C915" s="1" t="str">
        <f t="shared" si="14"/>
        <v>Ontario</v>
      </c>
      <c r="D915" s="1" t="s">
        <v>28</v>
      </c>
      <c r="E915" s="5">
        <v>42</v>
      </c>
      <c r="F915" s="1" t="s">
        <v>32</v>
      </c>
      <c r="G915" s="1" t="s">
        <v>32</v>
      </c>
      <c r="H915" t="s">
        <v>2270</v>
      </c>
      <c r="I915" s="1" t="s">
        <v>32</v>
      </c>
      <c r="J915" s="1" t="s">
        <v>25</v>
      </c>
      <c r="K915" s="1" t="s">
        <v>32</v>
      </c>
      <c r="L915" s="1" t="s">
        <v>32</v>
      </c>
      <c r="M915" s="1" t="s">
        <v>2028</v>
      </c>
      <c r="N915" s="1" t="s">
        <v>22</v>
      </c>
      <c r="O915" s="1" t="s">
        <v>2275</v>
      </c>
    </row>
    <row r="916" spans="1:15" x14ac:dyDescent="0.25">
      <c r="A916">
        <v>2105</v>
      </c>
      <c r="B916" s="1" t="s">
        <v>27</v>
      </c>
      <c r="C916" s="1" t="str">
        <f t="shared" si="14"/>
        <v>Ontario</v>
      </c>
      <c r="D916" s="1" t="s">
        <v>28</v>
      </c>
      <c r="E916" s="5">
        <v>60</v>
      </c>
      <c r="F916" s="1" t="s">
        <v>32</v>
      </c>
      <c r="G916" s="1" t="s">
        <v>32</v>
      </c>
      <c r="H916" t="s">
        <v>2270</v>
      </c>
      <c r="I916" s="1" t="s">
        <v>40</v>
      </c>
      <c r="J916" s="1" t="s">
        <v>44</v>
      </c>
      <c r="K916" s="1" t="s">
        <v>32</v>
      </c>
      <c r="L916" s="1" t="s">
        <v>32</v>
      </c>
      <c r="M916" s="1" t="s">
        <v>2029</v>
      </c>
      <c r="N916" s="1" t="s">
        <v>22</v>
      </c>
      <c r="O916" s="1" t="s">
        <v>2275</v>
      </c>
    </row>
    <row r="917" spans="1:15" x14ac:dyDescent="0.25">
      <c r="A917">
        <v>2106</v>
      </c>
      <c r="B917" s="1" t="s">
        <v>27</v>
      </c>
      <c r="C917" s="1" t="str">
        <f t="shared" si="14"/>
        <v>Ontario</v>
      </c>
      <c r="D917" s="1" t="s">
        <v>28</v>
      </c>
      <c r="E917" s="5">
        <v>37</v>
      </c>
      <c r="F917" s="1" t="s">
        <v>32</v>
      </c>
      <c r="G917" s="1" t="s">
        <v>32</v>
      </c>
      <c r="H917" t="s">
        <v>2270</v>
      </c>
      <c r="I917" s="1" t="s">
        <v>17</v>
      </c>
      <c r="J917" s="1" t="s">
        <v>25</v>
      </c>
      <c r="K917" s="1" t="s">
        <v>32</v>
      </c>
      <c r="L917" s="1" t="s">
        <v>32</v>
      </c>
      <c r="M917" s="1" t="s">
        <v>2030</v>
      </c>
      <c r="N917" s="1" t="s">
        <v>60</v>
      </c>
      <c r="O917" s="1" t="s">
        <v>2275</v>
      </c>
    </row>
    <row r="918" spans="1:15" x14ac:dyDescent="0.25">
      <c r="A918">
        <v>2108</v>
      </c>
      <c r="B918" s="1" t="s">
        <v>27</v>
      </c>
      <c r="C918" s="1" t="str">
        <f t="shared" si="14"/>
        <v>Ontario</v>
      </c>
      <c r="D918" s="1" t="s">
        <v>28</v>
      </c>
      <c r="E918" s="5">
        <v>21</v>
      </c>
      <c r="F918" s="1" t="s">
        <v>32</v>
      </c>
      <c r="G918" s="1" t="s">
        <v>32</v>
      </c>
      <c r="H918" t="s">
        <v>2270</v>
      </c>
      <c r="I918" s="1" t="s">
        <v>64</v>
      </c>
      <c r="J918" s="1" t="s">
        <v>18</v>
      </c>
      <c r="K918" s="1" t="s">
        <v>32</v>
      </c>
      <c r="L918" s="1" t="s">
        <v>32</v>
      </c>
      <c r="M918" s="1" t="s">
        <v>2031</v>
      </c>
      <c r="N918" s="1" t="s">
        <v>60</v>
      </c>
      <c r="O918" s="1" t="s">
        <v>2275</v>
      </c>
    </row>
    <row r="919" spans="1:15" x14ac:dyDescent="0.25">
      <c r="A919">
        <v>2109</v>
      </c>
      <c r="B919" s="1" t="s">
        <v>354</v>
      </c>
      <c r="C919" s="1" t="str">
        <f t="shared" si="14"/>
        <v>Quebec</v>
      </c>
      <c r="D919" s="1" t="s">
        <v>28</v>
      </c>
      <c r="E919" s="5">
        <v>46</v>
      </c>
      <c r="F919" s="1" t="s">
        <v>32</v>
      </c>
      <c r="G919" s="1" t="s">
        <v>32</v>
      </c>
      <c r="H919" t="s">
        <v>2270</v>
      </c>
      <c r="I919" s="1" t="s">
        <v>17</v>
      </c>
      <c r="J919" s="1" t="s">
        <v>25</v>
      </c>
      <c r="K919" s="1" t="s">
        <v>32</v>
      </c>
      <c r="L919" s="1" t="s">
        <v>32</v>
      </c>
      <c r="M919" s="1" t="s">
        <v>2032</v>
      </c>
      <c r="N919" s="1" t="s">
        <v>22</v>
      </c>
      <c r="O919" s="1" t="s">
        <v>2276</v>
      </c>
    </row>
    <row r="920" spans="1:15" x14ac:dyDescent="0.25">
      <c r="A920">
        <v>2110</v>
      </c>
      <c r="B920" s="1" t="s">
        <v>354</v>
      </c>
      <c r="C920" s="1" t="str">
        <f t="shared" si="14"/>
        <v>Quebec</v>
      </c>
      <c r="D920" s="1" t="s">
        <v>28</v>
      </c>
      <c r="E920" s="5">
        <v>38</v>
      </c>
      <c r="F920" s="1" t="s">
        <v>32</v>
      </c>
      <c r="G920" s="1" t="s">
        <v>32</v>
      </c>
      <c r="H920" t="s">
        <v>2270</v>
      </c>
      <c r="I920" s="1" t="s">
        <v>17</v>
      </c>
      <c r="J920" s="1" t="s">
        <v>25</v>
      </c>
      <c r="K920" s="1" t="s">
        <v>32</v>
      </c>
      <c r="L920" s="1" t="s">
        <v>20</v>
      </c>
      <c r="M920" s="1" t="s">
        <v>2033</v>
      </c>
      <c r="N920" s="1" t="s">
        <v>22</v>
      </c>
      <c r="O920" s="1" t="s">
        <v>2276</v>
      </c>
    </row>
    <row r="921" spans="1:15" x14ac:dyDescent="0.25">
      <c r="A921">
        <v>2111</v>
      </c>
      <c r="B921" s="1" t="s">
        <v>354</v>
      </c>
      <c r="C921" s="1" t="str">
        <f t="shared" si="14"/>
        <v>Quebec</v>
      </c>
      <c r="D921" s="1" t="s">
        <v>28</v>
      </c>
      <c r="E921" s="5">
        <v>39</v>
      </c>
      <c r="F921" s="1" t="s">
        <v>32</v>
      </c>
      <c r="G921" s="1" t="s">
        <v>32</v>
      </c>
      <c r="H921" t="s">
        <v>2270</v>
      </c>
      <c r="I921" s="1" t="s">
        <v>17</v>
      </c>
      <c r="J921" s="1" t="s">
        <v>25</v>
      </c>
      <c r="K921" s="1" t="s">
        <v>32</v>
      </c>
      <c r="L921" s="1" t="s">
        <v>32</v>
      </c>
      <c r="M921" s="1" t="s">
        <v>2034</v>
      </c>
      <c r="N921" s="1" t="s">
        <v>60</v>
      </c>
      <c r="O921" s="1" t="s">
        <v>2276</v>
      </c>
    </row>
    <row r="922" spans="1:15" x14ac:dyDescent="0.25">
      <c r="A922">
        <v>2112</v>
      </c>
      <c r="B922" s="1" t="s">
        <v>354</v>
      </c>
      <c r="C922" s="1" t="str">
        <f t="shared" si="14"/>
        <v>Quebec</v>
      </c>
      <c r="D922" s="1" t="s">
        <v>28</v>
      </c>
      <c r="E922" s="5">
        <v>50</v>
      </c>
      <c r="F922" s="1" t="s">
        <v>32</v>
      </c>
      <c r="G922" s="1" t="s">
        <v>32</v>
      </c>
      <c r="H922" t="s">
        <v>2270</v>
      </c>
      <c r="I922" s="1" t="s">
        <v>43</v>
      </c>
      <c r="J922" s="1" t="s">
        <v>25</v>
      </c>
      <c r="K922" s="1" t="s">
        <v>32</v>
      </c>
      <c r="L922" s="1" t="s">
        <v>45</v>
      </c>
      <c r="M922" s="1" t="s">
        <v>2035</v>
      </c>
      <c r="N922" s="1" t="s">
        <v>60</v>
      </c>
      <c r="O922" s="1" t="s">
        <v>2276</v>
      </c>
    </row>
    <row r="923" spans="1:15" x14ac:dyDescent="0.25">
      <c r="A923">
        <v>2113</v>
      </c>
      <c r="B923" s="1" t="s">
        <v>354</v>
      </c>
      <c r="C923" s="1" t="str">
        <f t="shared" si="14"/>
        <v>Quebec</v>
      </c>
      <c r="D923" s="1" t="s">
        <v>28</v>
      </c>
      <c r="E923" s="5">
        <v>50</v>
      </c>
      <c r="F923" s="1" t="s">
        <v>32</v>
      </c>
      <c r="G923" s="1" t="s">
        <v>32</v>
      </c>
      <c r="H923" t="s">
        <v>2270</v>
      </c>
      <c r="I923" s="1" t="s">
        <v>43</v>
      </c>
      <c r="J923" s="1" t="s">
        <v>25</v>
      </c>
      <c r="K923" s="1" t="s">
        <v>32</v>
      </c>
      <c r="L923" s="1" t="s">
        <v>45</v>
      </c>
      <c r="M923" s="1" t="s">
        <v>2036</v>
      </c>
      <c r="N923" s="1" t="s">
        <v>60</v>
      </c>
      <c r="O923" s="1" t="s">
        <v>2276</v>
      </c>
    </row>
    <row r="924" spans="1:15" x14ac:dyDescent="0.25">
      <c r="A924">
        <v>2114</v>
      </c>
      <c r="B924" s="1" t="s">
        <v>354</v>
      </c>
      <c r="C924" s="1" t="str">
        <f t="shared" si="14"/>
        <v>Quebec</v>
      </c>
      <c r="D924" s="1" t="s">
        <v>28</v>
      </c>
      <c r="E924" s="5">
        <v>86</v>
      </c>
      <c r="F924" s="1" t="s">
        <v>32</v>
      </c>
      <c r="G924" s="1" t="s">
        <v>32</v>
      </c>
      <c r="H924" t="s">
        <v>2270</v>
      </c>
      <c r="I924" s="1" t="s">
        <v>40</v>
      </c>
      <c r="J924" s="1" t="s">
        <v>25</v>
      </c>
      <c r="K924" s="1" t="s">
        <v>32</v>
      </c>
      <c r="L924" s="1" t="s">
        <v>91</v>
      </c>
      <c r="M924" s="1" t="s">
        <v>2037</v>
      </c>
      <c r="N924" s="1" t="s">
        <v>22</v>
      </c>
      <c r="O924" s="1" t="s">
        <v>2276</v>
      </c>
    </row>
    <row r="925" spans="1:15" x14ac:dyDescent="0.25">
      <c r="A925">
        <v>2115</v>
      </c>
      <c r="B925" s="1" t="s">
        <v>354</v>
      </c>
      <c r="C925" s="1" t="str">
        <f t="shared" si="14"/>
        <v>Quebec</v>
      </c>
      <c r="D925" s="1" t="s">
        <v>28</v>
      </c>
      <c r="E925" s="5">
        <v>50</v>
      </c>
      <c r="F925" s="1" t="s">
        <v>32</v>
      </c>
      <c r="G925" s="1" t="s">
        <v>32</v>
      </c>
      <c r="H925" t="s">
        <v>2270</v>
      </c>
      <c r="I925" s="1" t="s">
        <v>43</v>
      </c>
      <c r="J925" s="1" t="s">
        <v>25</v>
      </c>
      <c r="K925" s="1" t="s">
        <v>32</v>
      </c>
      <c r="L925" s="1" t="s">
        <v>32</v>
      </c>
      <c r="M925" s="1" t="s">
        <v>2038</v>
      </c>
      <c r="N925" s="1" t="s">
        <v>60</v>
      </c>
      <c r="O925" s="1" t="s">
        <v>2276</v>
      </c>
    </row>
    <row r="926" spans="1:15" x14ac:dyDescent="0.25">
      <c r="A926">
        <v>2116</v>
      </c>
      <c r="B926" s="1" t="s">
        <v>354</v>
      </c>
      <c r="C926" s="1" t="str">
        <f t="shared" si="14"/>
        <v>Quebec</v>
      </c>
      <c r="D926" s="1" t="s">
        <v>28</v>
      </c>
      <c r="E926" s="5">
        <v>38</v>
      </c>
      <c r="F926" s="1" t="s">
        <v>32</v>
      </c>
      <c r="G926" s="1" t="s">
        <v>32</v>
      </c>
      <c r="H926" t="s">
        <v>2270</v>
      </c>
      <c r="I926" s="1" t="s">
        <v>40</v>
      </c>
      <c r="J926" s="1" t="s">
        <v>25</v>
      </c>
      <c r="K926" s="1" t="s">
        <v>32</v>
      </c>
      <c r="L926" s="1" t="s">
        <v>32</v>
      </c>
      <c r="M926" s="1" t="s">
        <v>2039</v>
      </c>
      <c r="N926" s="1" t="s">
        <v>60</v>
      </c>
      <c r="O926" s="1" t="s">
        <v>2276</v>
      </c>
    </row>
    <row r="927" spans="1:15" x14ac:dyDescent="0.25">
      <c r="A927">
        <v>2117</v>
      </c>
      <c r="B927" s="1" t="s">
        <v>354</v>
      </c>
      <c r="C927" s="1" t="str">
        <f t="shared" si="14"/>
        <v>Quebec</v>
      </c>
      <c r="D927" s="1" t="s">
        <v>28</v>
      </c>
      <c r="E927" s="5">
        <v>26</v>
      </c>
      <c r="F927" s="1" t="s">
        <v>32</v>
      </c>
      <c r="G927" s="1" t="s">
        <v>32</v>
      </c>
      <c r="H927" t="s">
        <v>2270</v>
      </c>
      <c r="I927" s="1" t="s">
        <v>32</v>
      </c>
      <c r="J927" s="1" t="s">
        <v>25</v>
      </c>
      <c r="K927" s="1" t="s">
        <v>32</v>
      </c>
      <c r="L927" s="1" t="s">
        <v>32</v>
      </c>
      <c r="M927" s="1" t="s">
        <v>2040</v>
      </c>
      <c r="N927" s="1" t="s">
        <v>60</v>
      </c>
      <c r="O927" s="1" t="s">
        <v>2276</v>
      </c>
    </row>
    <row r="928" spans="1:15" x14ac:dyDescent="0.25">
      <c r="A928">
        <v>2118</v>
      </c>
      <c r="B928" s="1" t="s">
        <v>354</v>
      </c>
      <c r="C928" s="1" t="str">
        <f t="shared" si="14"/>
        <v>Quebec</v>
      </c>
      <c r="D928" s="1" t="s">
        <v>28</v>
      </c>
      <c r="E928" s="5">
        <v>25</v>
      </c>
      <c r="F928" s="1" t="s">
        <v>32</v>
      </c>
      <c r="G928" s="1" t="s">
        <v>32</v>
      </c>
      <c r="H928" t="s">
        <v>2270</v>
      </c>
      <c r="I928" s="1" t="s">
        <v>43</v>
      </c>
      <c r="J928" s="1" t="s">
        <v>25</v>
      </c>
      <c r="K928" s="1" t="s">
        <v>32</v>
      </c>
      <c r="L928" s="1" t="s">
        <v>91</v>
      </c>
      <c r="M928" s="1" t="s">
        <v>2041</v>
      </c>
      <c r="N928" s="1" t="s">
        <v>60</v>
      </c>
      <c r="O928" s="1" t="s">
        <v>2276</v>
      </c>
    </row>
    <row r="929" spans="1:15" x14ac:dyDescent="0.25">
      <c r="A929">
        <v>2128</v>
      </c>
      <c r="B929" s="1" t="s">
        <v>104</v>
      </c>
      <c r="C929" s="1" t="str">
        <f t="shared" si="14"/>
        <v>Nova Scotia</v>
      </c>
      <c r="D929" s="1" t="s">
        <v>28</v>
      </c>
      <c r="E929" s="5">
        <v>40</v>
      </c>
      <c r="F929" s="1" t="s">
        <v>32</v>
      </c>
      <c r="G929" s="1" t="s">
        <v>32</v>
      </c>
      <c r="H929" t="s">
        <v>2270</v>
      </c>
      <c r="I929" s="1" t="s">
        <v>32</v>
      </c>
      <c r="J929" s="1" t="s">
        <v>25</v>
      </c>
      <c r="K929" s="1" t="s">
        <v>32</v>
      </c>
      <c r="L929" s="1" t="s">
        <v>91</v>
      </c>
      <c r="M929" s="1" t="s">
        <v>2042</v>
      </c>
      <c r="N929" s="1" t="s">
        <v>22</v>
      </c>
      <c r="O929" s="1" t="s">
        <v>2286</v>
      </c>
    </row>
    <row r="930" spans="1:15" x14ac:dyDescent="0.25">
      <c r="A930">
        <v>2137</v>
      </c>
      <c r="B930" s="1" t="s">
        <v>354</v>
      </c>
      <c r="C930" s="1" t="str">
        <f t="shared" si="14"/>
        <v>Quebec</v>
      </c>
      <c r="D930" s="1" t="s">
        <v>14</v>
      </c>
      <c r="E930" s="5">
        <v>36</v>
      </c>
      <c r="F930" s="1" t="s">
        <v>32</v>
      </c>
      <c r="G930" s="1" t="s">
        <v>32</v>
      </c>
      <c r="H930" t="s">
        <v>2270</v>
      </c>
      <c r="I930" s="1" t="s">
        <v>17</v>
      </c>
      <c r="J930" s="1" t="s">
        <v>25</v>
      </c>
      <c r="K930" s="1" t="s">
        <v>31</v>
      </c>
      <c r="L930" s="1" t="s">
        <v>91</v>
      </c>
      <c r="M930" s="1" t="s">
        <v>1598</v>
      </c>
      <c r="N930" s="1" t="s">
        <v>60</v>
      </c>
      <c r="O930" s="1" t="s">
        <v>2276</v>
      </c>
    </row>
    <row r="931" spans="1:15" x14ac:dyDescent="0.25">
      <c r="A931">
        <v>2141</v>
      </c>
      <c r="B931" s="1" t="s">
        <v>57</v>
      </c>
      <c r="C931" s="1" t="str">
        <f t="shared" si="14"/>
        <v>British Columbia</v>
      </c>
      <c r="D931" s="1" t="s">
        <v>73</v>
      </c>
      <c r="E931" s="5">
        <v>40</v>
      </c>
      <c r="F931" s="1" t="s">
        <v>32</v>
      </c>
      <c r="G931" s="1" t="s">
        <v>32</v>
      </c>
      <c r="H931" t="s">
        <v>2270</v>
      </c>
      <c r="I931" s="1" t="s">
        <v>24</v>
      </c>
      <c r="J931" s="1" t="s">
        <v>25</v>
      </c>
      <c r="K931" s="1" t="s">
        <v>31</v>
      </c>
      <c r="L931" s="1" t="s">
        <v>91</v>
      </c>
      <c r="M931" s="1" t="s">
        <v>2043</v>
      </c>
      <c r="N931" s="1" t="s">
        <v>60</v>
      </c>
      <c r="O931" s="1" t="s">
        <v>2274</v>
      </c>
    </row>
    <row r="932" spans="1:15" x14ac:dyDescent="0.25">
      <c r="A932">
        <v>2144</v>
      </c>
      <c r="B932" s="1" t="s">
        <v>354</v>
      </c>
      <c r="C932" s="1" t="str">
        <f t="shared" si="14"/>
        <v>Quebec</v>
      </c>
      <c r="D932" s="1" t="s">
        <v>73</v>
      </c>
      <c r="E932" s="5">
        <v>54</v>
      </c>
      <c r="F932" s="1" t="s">
        <v>32</v>
      </c>
      <c r="G932" s="1" t="s">
        <v>32</v>
      </c>
      <c r="H932" t="s">
        <v>2270</v>
      </c>
      <c r="I932" s="1" t="s">
        <v>43</v>
      </c>
      <c r="J932" s="1" t="s">
        <v>25</v>
      </c>
      <c r="K932" s="1" t="s">
        <v>31</v>
      </c>
      <c r="L932" s="1" t="s">
        <v>45</v>
      </c>
      <c r="M932" s="1" t="s">
        <v>2044</v>
      </c>
      <c r="N932" s="1" t="s">
        <v>22</v>
      </c>
      <c r="O932" s="1" t="s">
        <v>2276</v>
      </c>
    </row>
    <row r="933" spans="1:15" x14ac:dyDescent="0.25">
      <c r="A933">
        <v>2146</v>
      </c>
      <c r="B933" s="1" t="s">
        <v>354</v>
      </c>
      <c r="C933" s="1" t="str">
        <f t="shared" si="14"/>
        <v>Quebec</v>
      </c>
      <c r="D933" s="1" t="s">
        <v>28</v>
      </c>
      <c r="E933" s="5">
        <v>42</v>
      </c>
      <c r="F933" s="1" t="s">
        <v>32</v>
      </c>
      <c r="G933" s="1" t="s">
        <v>2045</v>
      </c>
      <c r="H933" t="s">
        <v>2270</v>
      </c>
      <c r="I933" s="1" t="s">
        <v>17</v>
      </c>
      <c r="J933" s="1" t="s">
        <v>25</v>
      </c>
      <c r="K933" s="1" t="s">
        <v>31</v>
      </c>
      <c r="L933" s="1" t="s">
        <v>32</v>
      </c>
      <c r="M933" s="1" t="s">
        <v>2046</v>
      </c>
      <c r="N933" s="1" t="s">
        <v>22</v>
      </c>
      <c r="O933" s="1" t="s">
        <v>2276</v>
      </c>
    </row>
    <row r="934" spans="1:15" x14ac:dyDescent="0.25">
      <c r="A934">
        <v>2152</v>
      </c>
      <c r="B934" s="1" t="s">
        <v>354</v>
      </c>
      <c r="C934" s="1" t="str">
        <f t="shared" si="14"/>
        <v>Quebec</v>
      </c>
      <c r="D934" s="1" t="s">
        <v>73</v>
      </c>
      <c r="E934" s="5">
        <v>72</v>
      </c>
      <c r="F934" s="1" t="s">
        <v>32</v>
      </c>
      <c r="G934" s="1" t="s">
        <v>32</v>
      </c>
      <c r="H934" t="s">
        <v>2270</v>
      </c>
      <c r="I934" s="1" t="s">
        <v>40</v>
      </c>
      <c r="J934" s="1" t="s">
        <v>44</v>
      </c>
      <c r="K934" s="1" t="s">
        <v>32</v>
      </c>
      <c r="L934" s="1" t="s">
        <v>32</v>
      </c>
      <c r="M934" s="1" t="s">
        <v>2047</v>
      </c>
      <c r="N934" s="1" t="s">
        <v>22</v>
      </c>
      <c r="O934" s="1" t="s">
        <v>2276</v>
      </c>
    </row>
    <row r="935" spans="1:15" x14ac:dyDescent="0.25">
      <c r="A935">
        <v>2158</v>
      </c>
      <c r="B935" s="1" t="s">
        <v>354</v>
      </c>
      <c r="C935" s="1" t="str">
        <f t="shared" si="14"/>
        <v>Quebec</v>
      </c>
      <c r="D935" s="1" t="s">
        <v>73</v>
      </c>
      <c r="E935" s="5">
        <v>42</v>
      </c>
      <c r="F935" s="1" t="s">
        <v>222</v>
      </c>
      <c r="G935" s="1" t="s">
        <v>32</v>
      </c>
      <c r="H935" t="s">
        <v>2270</v>
      </c>
      <c r="I935" s="1" t="s">
        <v>24</v>
      </c>
      <c r="J935" s="1" t="s">
        <v>44</v>
      </c>
      <c r="K935" s="1" t="s">
        <v>31</v>
      </c>
      <c r="L935" s="1" t="s">
        <v>32</v>
      </c>
      <c r="M935" s="1" t="s">
        <v>2048</v>
      </c>
      <c r="N935" s="1" t="s">
        <v>22</v>
      </c>
      <c r="O935" s="1" t="s">
        <v>2276</v>
      </c>
    </row>
    <row r="936" spans="1:15" x14ac:dyDescent="0.25">
      <c r="A936">
        <v>2160</v>
      </c>
      <c r="B936" s="1" t="s">
        <v>354</v>
      </c>
      <c r="C936" s="1" t="str">
        <f t="shared" si="14"/>
        <v>Quebec</v>
      </c>
      <c r="D936" s="1" t="s">
        <v>14</v>
      </c>
      <c r="E936" s="5">
        <v>47</v>
      </c>
      <c r="F936" s="1" t="s">
        <v>2049</v>
      </c>
      <c r="G936" s="1" t="s">
        <v>32</v>
      </c>
      <c r="H936" t="s">
        <v>2270</v>
      </c>
      <c r="I936" s="1" t="s">
        <v>43</v>
      </c>
      <c r="J936" s="1" t="s">
        <v>25</v>
      </c>
      <c r="K936" s="1" t="s">
        <v>19</v>
      </c>
      <c r="L936" s="1" t="s">
        <v>32</v>
      </c>
      <c r="M936" s="1" t="s">
        <v>2050</v>
      </c>
      <c r="N936" s="1" t="s">
        <v>60</v>
      </c>
      <c r="O936" s="1" t="s">
        <v>2276</v>
      </c>
    </row>
    <row r="937" spans="1:15" x14ac:dyDescent="0.25">
      <c r="A937">
        <v>2217</v>
      </c>
      <c r="B937" s="1" t="s">
        <v>354</v>
      </c>
      <c r="C937" s="1" t="str">
        <f t="shared" si="14"/>
        <v>Quebec</v>
      </c>
      <c r="D937" s="1" t="s">
        <v>28</v>
      </c>
      <c r="E937" s="5">
        <v>32</v>
      </c>
      <c r="F937" s="1" t="s">
        <v>2051</v>
      </c>
      <c r="G937" s="1" t="s">
        <v>32</v>
      </c>
      <c r="H937" t="s">
        <v>2270</v>
      </c>
      <c r="I937" s="1" t="s">
        <v>64</v>
      </c>
      <c r="J937" s="1" t="s">
        <v>25</v>
      </c>
      <c r="K937" s="1" t="s">
        <v>32</v>
      </c>
      <c r="L937" s="1" t="s">
        <v>91</v>
      </c>
      <c r="M937" s="1" t="s">
        <v>2052</v>
      </c>
      <c r="N937" s="1" t="s">
        <v>22</v>
      </c>
      <c r="O937" s="1" t="s">
        <v>2276</v>
      </c>
    </row>
    <row r="938" spans="1:15" x14ac:dyDescent="0.25">
      <c r="A938">
        <v>2218</v>
      </c>
      <c r="B938" s="1" t="s">
        <v>354</v>
      </c>
      <c r="C938" s="1" t="str">
        <f t="shared" si="14"/>
        <v>Quebec</v>
      </c>
      <c r="D938" s="1" t="s">
        <v>28</v>
      </c>
      <c r="E938" s="5">
        <v>54</v>
      </c>
      <c r="F938" s="1" t="s">
        <v>32</v>
      </c>
      <c r="G938" s="1" t="s">
        <v>32</v>
      </c>
      <c r="H938" t="s">
        <v>2270</v>
      </c>
      <c r="I938" s="1" t="s">
        <v>32</v>
      </c>
      <c r="J938" s="1" t="s">
        <v>25</v>
      </c>
      <c r="K938" s="1" t="s">
        <v>32</v>
      </c>
      <c r="L938" s="1" t="s">
        <v>32</v>
      </c>
      <c r="M938" s="1" t="s">
        <v>2053</v>
      </c>
      <c r="N938" s="1" t="s">
        <v>22</v>
      </c>
      <c r="O938" s="1" t="s">
        <v>2276</v>
      </c>
    </row>
    <row r="939" spans="1:15" x14ac:dyDescent="0.25">
      <c r="A939">
        <v>2224</v>
      </c>
      <c r="B939" s="1" t="s">
        <v>354</v>
      </c>
      <c r="C939" s="1" t="str">
        <f t="shared" si="14"/>
        <v>Quebec</v>
      </c>
      <c r="D939" s="1" t="s">
        <v>73</v>
      </c>
      <c r="E939" s="5">
        <v>33</v>
      </c>
      <c r="F939" s="1" t="s">
        <v>32</v>
      </c>
      <c r="G939" s="1" t="s">
        <v>32</v>
      </c>
      <c r="H939" t="s">
        <v>2270</v>
      </c>
      <c r="I939" s="1" t="s">
        <v>17</v>
      </c>
      <c r="J939" s="1" t="s">
        <v>18</v>
      </c>
      <c r="K939" s="1" t="s">
        <v>32</v>
      </c>
      <c r="L939" s="1" t="s">
        <v>20</v>
      </c>
      <c r="M939" s="1" t="s">
        <v>2054</v>
      </c>
      <c r="N939" s="1" t="s">
        <v>60</v>
      </c>
      <c r="O939" s="1" t="s">
        <v>2276</v>
      </c>
    </row>
    <row r="940" spans="1:15" x14ac:dyDescent="0.25">
      <c r="A940">
        <v>2225</v>
      </c>
      <c r="B940" s="1" t="s">
        <v>354</v>
      </c>
      <c r="C940" s="1" t="str">
        <f t="shared" si="14"/>
        <v>Quebec</v>
      </c>
      <c r="D940" s="1" t="s">
        <v>73</v>
      </c>
      <c r="E940" s="5">
        <v>41</v>
      </c>
      <c r="F940" s="1" t="s">
        <v>32</v>
      </c>
      <c r="G940" s="1" t="s">
        <v>32</v>
      </c>
      <c r="H940" t="s">
        <v>2270</v>
      </c>
      <c r="I940" s="1" t="s">
        <v>35</v>
      </c>
      <c r="J940" s="1" t="s">
        <v>18</v>
      </c>
      <c r="K940" s="1" t="s">
        <v>32</v>
      </c>
      <c r="L940" s="1" t="s">
        <v>32</v>
      </c>
      <c r="M940" s="1" t="s">
        <v>2055</v>
      </c>
      <c r="N940" s="1" t="s">
        <v>22</v>
      </c>
      <c r="O940" s="1" t="s">
        <v>2276</v>
      </c>
    </row>
    <row r="941" spans="1:15" x14ac:dyDescent="0.25">
      <c r="A941">
        <v>2228</v>
      </c>
      <c r="B941" s="1" t="s">
        <v>57</v>
      </c>
      <c r="C941" s="1" t="str">
        <f t="shared" si="14"/>
        <v>British Columbia</v>
      </c>
      <c r="D941" s="1" t="s">
        <v>73</v>
      </c>
      <c r="E941" s="5">
        <v>30</v>
      </c>
      <c r="F941" s="1" t="s">
        <v>2056</v>
      </c>
      <c r="G941" s="1" t="s">
        <v>32</v>
      </c>
      <c r="H941" t="s">
        <v>2270</v>
      </c>
      <c r="I941" s="1" t="s">
        <v>17</v>
      </c>
      <c r="J941" s="1" t="s">
        <v>25</v>
      </c>
      <c r="K941" s="1" t="s">
        <v>31</v>
      </c>
      <c r="L941" s="1" t="s">
        <v>91</v>
      </c>
      <c r="M941" s="1" t="s">
        <v>2057</v>
      </c>
      <c r="N941" s="1" t="s">
        <v>60</v>
      </c>
      <c r="O941" s="1" t="s">
        <v>2274</v>
      </c>
    </row>
    <row r="942" spans="1:15" x14ac:dyDescent="0.25">
      <c r="A942">
        <v>2266</v>
      </c>
      <c r="B942" s="1" t="s">
        <v>27</v>
      </c>
      <c r="C942" s="1" t="str">
        <f t="shared" si="14"/>
        <v>Ontario</v>
      </c>
      <c r="D942" s="1" t="s">
        <v>73</v>
      </c>
      <c r="E942" s="5">
        <v>42</v>
      </c>
      <c r="F942" s="1" t="s">
        <v>2058</v>
      </c>
      <c r="G942" s="1" t="s">
        <v>2059</v>
      </c>
      <c r="H942" t="s">
        <v>2270</v>
      </c>
      <c r="I942" s="1" t="s">
        <v>64</v>
      </c>
      <c r="J942" s="1" t="s">
        <v>44</v>
      </c>
      <c r="K942" s="1" t="s">
        <v>31</v>
      </c>
      <c r="L942" s="1" t="s">
        <v>91</v>
      </c>
      <c r="M942" s="1" t="s">
        <v>2060</v>
      </c>
      <c r="N942" s="1" t="s">
        <v>22</v>
      </c>
      <c r="O942" s="1" t="s">
        <v>2275</v>
      </c>
    </row>
    <row r="943" spans="1:15" x14ac:dyDescent="0.25">
      <c r="A943">
        <v>2267</v>
      </c>
      <c r="B943" s="1" t="s">
        <v>13</v>
      </c>
      <c r="C943" s="1" t="str">
        <f t="shared" si="14"/>
        <v>New Brunswick</v>
      </c>
      <c r="D943" s="1" t="s">
        <v>14</v>
      </c>
      <c r="E943" s="5">
        <v>50</v>
      </c>
      <c r="F943" s="1" t="s">
        <v>2061</v>
      </c>
      <c r="G943" s="1" t="s">
        <v>2062</v>
      </c>
      <c r="H943" t="s">
        <v>2271</v>
      </c>
      <c r="I943" s="1" t="s">
        <v>24</v>
      </c>
      <c r="J943" s="1" t="s">
        <v>44</v>
      </c>
      <c r="K943" s="1" t="s">
        <v>31</v>
      </c>
      <c r="L943" s="1" t="s">
        <v>419</v>
      </c>
      <c r="M943" s="1" t="s">
        <v>2063</v>
      </c>
      <c r="N943" s="1" t="s">
        <v>22</v>
      </c>
      <c r="O943" s="1" t="s">
        <v>2284</v>
      </c>
    </row>
    <row r="944" spans="1:15" x14ac:dyDescent="0.25">
      <c r="A944">
        <v>2268</v>
      </c>
      <c r="B944" s="1" t="s">
        <v>13</v>
      </c>
      <c r="C944" s="1" t="str">
        <f t="shared" si="14"/>
        <v>New Brunswick</v>
      </c>
      <c r="D944" s="1" t="s">
        <v>14</v>
      </c>
      <c r="E944" s="5">
        <v>50</v>
      </c>
      <c r="F944" s="1" t="s">
        <v>2064</v>
      </c>
      <c r="G944" s="1" t="s">
        <v>32</v>
      </c>
      <c r="H944" t="s">
        <v>2270</v>
      </c>
      <c r="I944" s="1" t="s">
        <v>43</v>
      </c>
      <c r="J944" s="1" t="s">
        <v>44</v>
      </c>
      <c r="K944" s="1" t="s">
        <v>31</v>
      </c>
      <c r="L944" s="1" t="s">
        <v>32</v>
      </c>
      <c r="M944" s="1" t="s">
        <v>2065</v>
      </c>
      <c r="N944" s="1" t="s">
        <v>22</v>
      </c>
      <c r="O944" s="1" t="s">
        <v>2284</v>
      </c>
    </row>
    <row r="945" spans="1:15" x14ac:dyDescent="0.25">
      <c r="A945">
        <v>2269</v>
      </c>
      <c r="B945" s="1" t="s">
        <v>13</v>
      </c>
      <c r="C945" s="1" t="str">
        <f t="shared" si="14"/>
        <v>New Brunswick</v>
      </c>
      <c r="D945" s="1" t="s">
        <v>14</v>
      </c>
      <c r="E945" s="5">
        <v>50</v>
      </c>
      <c r="F945" s="1" t="s">
        <v>2066</v>
      </c>
      <c r="G945" s="1" t="s">
        <v>2067</v>
      </c>
      <c r="H945" t="s">
        <v>2271</v>
      </c>
      <c r="I945" s="1" t="s">
        <v>43</v>
      </c>
      <c r="J945" s="1" t="s">
        <v>44</v>
      </c>
      <c r="K945" s="1" t="s">
        <v>31</v>
      </c>
      <c r="L945" s="1" t="s">
        <v>45</v>
      </c>
      <c r="M945" s="1" t="s">
        <v>2068</v>
      </c>
      <c r="N945" s="1" t="s">
        <v>22</v>
      </c>
      <c r="O945" s="1" t="s">
        <v>2284</v>
      </c>
    </row>
    <row r="946" spans="1:15" x14ac:dyDescent="0.25">
      <c r="A946">
        <v>2270</v>
      </c>
      <c r="B946" s="1" t="s">
        <v>13</v>
      </c>
      <c r="C946" s="1" t="str">
        <f t="shared" si="14"/>
        <v>New Brunswick</v>
      </c>
      <c r="D946" s="1" t="s">
        <v>14</v>
      </c>
      <c r="E946" s="5">
        <v>50</v>
      </c>
      <c r="F946" s="1" t="s">
        <v>2069</v>
      </c>
      <c r="G946" s="1" t="s">
        <v>32</v>
      </c>
      <c r="H946" t="s">
        <v>2270</v>
      </c>
      <c r="I946" s="1" t="s">
        <v>43</v>
      </c>
      <c r="J946" s="1" t="s">
        <v>44</v>
      </c>
      <c r="K946" s="1" t="s">
        <v>31</v>
      </c>
      <c r="L946" s="1" t="s">
        <v>91</v>
      </c>
      <c r="M946" s="1" t="s">
        <v>2070</v>
      </c>
      <c r="N946" s="1" t="s">
        <v>22</v>
      </c>
      <c r="O946" s="1" t="s">
        <v>2284</v>
      </c>
    </row>
    <row r="947" spans="1:15" x14ac:dyDescent="0.25">
      <c r="A947">
        <v>2271</v>
      </c>
      <c r="B947" s="1" t="s">
        <v>13</v>
      </c>
      <c r="C947" s="1" t="str">
        <f t="shared" si="14"/>
        <v>New Brunswick</v>
      </c>
      <c r="D947" s="1" t="s">
        <v>14</v>
      </c>
      <c r="E947" s="5">
        <v>50</v>
      </c>
      <c r="F947" s="1" t="s">
        <v>2071</v>
      </c>
      <c r="G947" s="1" t="s">
        <v>2072</v>
      </c>
      <c r="H947" t="s">
        <v>2270</v>
      </c>
      <c r="I947" s="1" t="s">
        <v>43</v>
      </c>
      <c r="J947" s="1" t="s">
        <v>44</v>
      </c>
      <c r="K947" s="1" t="s">
        <v>31</v>
      </c>
      <c r="L947" s="1" t="s">
        <v>45</v>
      </c>
      <c r="M947" s="1" t="s">
        <v>2073</v>
      </c>
      <c r="N947" s="1" t="s">
        <v>22</v>
      </c>
      <c r="O947" s="1" t="s">
        <v>2284</v>
      </c>
    </row>
    <row r="948" spans="1:15" x14ac:dyDescent="0.25">
      <c r="A948">
        <v>2272</v>
      </c>
      <c r="B948" s="1" t="s">
        <v>13</v>
      </c>
      <c r="C948" s="1" t="str">
        <f t="shared" si="14"/>
        <v>New Brunswick</v>
      </c>
      <c r="D948" s="1" t="s">
        <v>14</v>
      </c>
      <c r="E948" s="5">
        <v>50</v>
      </c>
      <c r="F948" s="1" t="s">
        <v>2074</v>
      </c>
      <c r="G948" s="1" t="s">
        <v>2075</v>
      </c>
      <c r="H948" t="s">
        <v>2270</v>
      </c>
      <c r="I948" s="1" t="s">
        <v>40</v>
      </c>
      <c r="J948" s="1" t="s">
        <v>44</v>
      </c>
      <c r="K948" s="1" t="s">
        <v>31</v>
      </c>
      <c r="L948" s="1" t="s">
        <v>91</v>
      </c>
      <c r="M948" s="1" t="s">
        <v>2076</v>
      </c>
      <c r="N948" s="1" t="s">
        <v>22</v>
      </c>
      <c r="O948" s="1" t="s">
        <v>2284</v>
      </c>
    </row>
    <row r="949" spans="1:15" x14ac:dyDescent="0.25">
      <c r="A949">
        <v>2273</v>
      </c>
      <c r="B949" s="1" t="s">
        <v>13</v>
      </c>
      <c r="C949" s="1" t="str">
        <f t="shared" si="14"/>
        <v>New Brunswick</v>
      </c>
      <c r="D949" s="1" t="s">
        <v>14</v>
      </c>
      <c r="E949" s="5">
        <v>50</v>
      </c>
      <c r="F949" s="1" t="s">
        <v>2077</v>
      </c>
      <c r="G949" s="1" t="s">
        <v>32</v>
      </c>
      <c r="H949" t="s">
        <v>2270</v>
      </c>
      <c r="I949" s="1" t="s">
        <v>17</v>
      </c>
      <c r="J949" s="1" t="s">
        <v>44</v>
      </c>
      <c r="K949" s="1" t="s">
        <v>31</v>
      </c>
      <c r="L949" s="1" t="s">
        <v>91</v>
      </c>
      <c r="M949" s="1" t="s">
        <v>2078</v>
      </c>
      <c r="N949" s="1" t="s">
        <v>22</v>
      </c>
      <c r="O949" s="1" t="s">
        <v>2284</v>
      </c>
    </row>
    <row r="950" spans="1:15" x14ac:dyDescent="0.25">
      <c r="A950">
        <v>2274</v>
      </c>
      <c r="B950" s="1" t="s">
        <v>13</v>
      </c>
      <c r="C950" s="1" t="str">
        <f t="shared" si="14"/>
        <v>New Brunswick</v>
      </c>
      <c r="D950" s="1" t="s">
        <v>14</v>
      </c>
      <c r="E950" s="5">
        <v>50</v>
      </c>
      <c r="F950" s="1" t="s">
        <v>2079</v>
      </c>
      <c r="G950" s="1" t="s">
        <v>32</v>
      </c>
      <c r="H950" t="s">
        <v>2270</v>
      </c>
      <c r="I950" s="1" t="s">
        <v>40</v>
      </c>
      <c r="J950" s="1" t="s">
        <v>44</v>
      </c>
      <c r="K950" s="1" t="s">
        <v>31</v>
      </c>
      <c r="L950" s="1" t="s">
        <v>91</v>
      </c>
      <c r="M950" s="1" t="s">
        <v>2080</v>
      </c>
      <c r="N950" s="1" t="s">
        <v>22</v>
      </c>
      <c r="O950" s="1" t="s">
        <v>2284</v>
      </c>
    </row>
    <row r="951" spans="1:15" x14ac:dyDescent="0.25">
      <c r="A951">
        <v>2275</v>
      </c>
      <c r="B951" s="1" t="s">
        <v>13</v>
      </c>
      <c r="C951" s="1" t="str">
        <f t="shared" si="14"/>
        <v>New Brunswick</v>
      </c>
      <c r="D951" s="1" t="s">
        <v>14</v>
      </c>
      <c r="E951" s="5">
        <v>50</v>
      </c>
      <c r="F951" s="1" t="s">
        <v>2081</v>
      </c>
      <c r="G951" s="1" t="s">
        <v>2082</v>
      </c>
      <c r="H951" t="s">
        <v>2270</v>
      </c>
      <c r="I951" s="1" t="s">
        <v>43</v>
      </c>
      <c r="J951" s="1" t="s">
        <v>44</v>
      </c>
      <c r="K951" s="1" t="s">
        <v>31</v>
      </c>
      <c r="L951" s="1" t="s">
        <v>91</v>
      </c>
      <c r="M951" s="1" t="s">
        <v>2083</v>
      </c>
      <c r="N951" s="1" t="s">
        <v>22</v>
      </c>
      <c r="O951" s="1" t="s">
        <v>2284</v>
      </c>
    </row>
    <row r="952" spans="1:15" x14ac:dyDescent="0.25">
      <c r="A952">
        <v>2276</v>
      </c>
      <c r="B952" s="1" t="s">
        <v>13</v>
      </c>
      <c r="C952" s="1" t="str">
        <f t="shared" si="14"/>
        <v>New Brunswick</v>
      </c>
      <c r="D952" s="1" t="s">
        <v>14</v>
      </c>
      <c r="E952" s="5">
        <v>50</v>
      </c>
      <c r="F952" s="1" t="s">
        <v>2084</v>
      </c>
      <c r="G952" s="1" t="s">
        <v>2085</v>
      </c>
      <c r="H952" t="s">
        <v>2270</v>
      </c>
      <c r="I952" s="1" t="s">
        <v>43</v>
      </c>
      <c r="J952" s="1" t="s">
        <v>44</v>
      </c>
      <c r="K952" s="1" t="s">
        <v>31</v>
      </c>
      <c r="L952" s="1" t="s">
        <v>45</v>
      </c>
      <c r="M952" s="1" t="s">
        <v>2086</v>
      </c>
      <c r="N952" s="1" t="s">
        <v>22</v>
      </c>
      <c r="O952" s="1" t="s">
        <v>2284</v>
      </c>
    </row>
    <row r="953" spans="1:15" x14ac:dyDescent="0.25">
      <c r="A953">
        <v>2277</v>
      </c>
      <c r="B953" s="1" t="s">
        <v>13</v>
      </c>
      <c r="C953" s="1" t="str">
        <f t="shared" si="14"/>
        <v>New Brunswick</v>
      </c>
      <c r="D953" s="1" t="s">
        <v>14</v>
      </c>
      <c r="E953" s="5">
        <v>50</v>
      </c>
      <c r="F953" s="1" t="s">
        <v>2087</v>
      </c>
      <c r="G953" s="1" t="s">
        <v>32</v>
      </c>
      <c r="H953" t="s">
        <v>2270</v>
      </c>
      <c r="I953" s="1" t="s">
        <v>43</v>
      </c>
      <c r="J953" s="1" t="s">
        <v>44</v>
      </c>
      <c r="K953" s="1" t="s">
        <v>31</v>
      </c>
      <c r="L953" s="1" t="s">
        <v>45</v>
      </c>
      <c r="M953" s="1" t="s">
        <v>2088</v>
      </c>
      <c r="N953" s="1" t="s">
        <v>22</v>
      </c>
      <c r="O953" s="1" t="s">
        <v>2284</v>
      </c>
    </row>
    <row r="954" spans="1:15" x14ac:dyDescent="0.25">
      <c r="A954">
        <v>2278</v>
      </c>
      <c r="B954" s="1" t="s">
        <v>13</v>
      </c>
      <c r="C954" s="1" t="str">
        <f t="shared" si="14"/>
        <v>New Brunswick</v>
      </c>
      <c r="D954" s="1" t="s">
        <v>14</v>
      </c>
      <c r="E954" s="5">
        <v>50</v>
      </c>
      <c r="F954" s="1" t="s">
        <v>2089</v>
      </c>
      <c r="G954" s="1" t="s">
        <v>2090</v>
      </c>
      <c r="H954" t="s">
        <v>2270</v>
      </c>
      <c r="I954" s="1" t="s">
        <v>40</v>
      </c>
      <c r="J954" s="1" t="s">
        <v>44</v>
      </c>
      <c r="K954" s="1" t="s">
        <v>31</v>
      </c>
      <c r="L954" s="1" t="s">
        <v>91</v>
      </c>
      <c r="M954" s="1" t="s">
        <v>2091</v>
      </c>
      <c r="N954" s="1" t="s">
        <v>22</v>
      </c>
      <c r="O954" s="1" t="s">
        <v>2284</v>
      </c>
    </row>
    <row r="955" spans="1:15" x14ac:dyDescent="0.25">
      <c r="A955">
        <v>2279</v>
      </c>
      <c r="B955" s="1" t="s">
        <v>13</v>
      </c>
      <c r="C955" s="1" t="str">
        <f t="shared" si="14"/>
        <v>New Brunswick</v>
      </c>
      <c r="D955" s="1" t="s">
        <v>14</v>
      </c>
      <c r="E955" s="5">
        <v>50</v>
      </c>
      <c r="F955" s="1" t="s">
        <v>2092</v>
      </c>
      <c r="G955" s="1" t="s">
        <v>32</v>
      </c>
      <c r="H955" t="s">
        <v>2270</v>
      </c>
      <c r="I955" s="1" t="s">
        <v>24</v>
      </c>
      <c r="J955" s="1" t="s">
        <v>44</v>
      </c>
      <c r="K955" s="1" t="s">
        <v>31</v>
      </c>
      <c r="L955" s="1" t="s">
        <v>45</v>
      </c>
      <c r="M955" s="1" t="s">
        <v>2093</v>
      </c>
      <c r="N955" s="1" t="s">
        <v>22</v>
      </c>
      <c r="O955" s="1" t="s">
        <v>2284</v>
      </c>
    </row>
    <row r="956" spans="1:15" x14ac:dyDescent="0.25">
      <c r="A956">
        <v>2280</v>
      </c>
      <c r="B956" s="1" t="s">
        <v>13</v>
      </c>
      <c r="C956" s="1" t="str">
        <f t="shared" si="14"/>
        <v>New Brunswick</v>
      </c>
      <c r="D956" s="1" t="s">
        <v>14</v>
      </c>
      <c r="E956" s="5">
        <v>50</v>
      </c>
      <c r="F956" s="1" t="s">
        <v>32</v>
      </c>
      <c r="G956" s="1" t="s">
        <v>2094</v>
      </c>
      <c r="H956" t="s">
        <v>2270</v>
      </c>
      <c r="I956" s="1" t="s">
        <v>17</v>
      </c>
      <c r="J956" s="1" t="s">
        <v>44</v>
      </c>
      <c r="K956" s="1" t="s">
        <v>31</v>
      </c>
      <c r="L956" s="1" t="s">
        <v>91</v>
      </c>
      <c r="M956" s="1" t="s">
        <v>2095</v>
      </c>
      <c r="N956" s="1" t="s">
        <v>22</v>
      </c>
      <c r="O956" s="1" t="s">
        <v>2284</v>
      </c>
    </row>
    <row r="957" spans="1:15" x14ac:dyDescent="0.25">
      <c r="A957">
        <v>2281</v>
      </c>
      <c r="B957" s="1" t="s">
        <v>354</v>
      </c>
      <c r="C957" s="1" t="str">
        <f t="shared" si="14"/>
        <v>Quebec</v>
      </c>
      <c r="D957" s="1" t="s">
        <v>73</v>
      </c>
      <c r="E957" s="5">
        <v>33</v>
      </c>
      <c r="F957" s="1" t="s">
        <v>2096</v>
      </c>
      <c r="G957" s="1" t="s">
        <v>32</v>
      </c>
      <c r="H957" t="s">
        <v>2271</v>
      </c>
      <c r="I957" s="1" t="s">
        <v>17</v>
      </c>
      <c r="J957" s="1" t="s">
        <v>25</v>
      </c>
      <c r="K957" s="1" t="s">
        <v>19</v>
      </c>
      <c r="L957" s="1" t="s">
        <v>32</v>
      </c>
      <c r="M957" s="1" t="s">
        <v>2097</v>
      </c>
      <c r="N957" s="1" t="s">
        <v>60</v>
      </c>
      <c r="O957" s="1" t="s">
        <v>2276</v>
      </c>
    </row>
    <row r="958" spans="1:15" x14ac:dyDescent="0.25">
      <c r="A958">
        <v>2282</v>
      </c>
      <c r="B958" s="1" t="s">
        <v>354</v>
      </c>
      <c r="C958" s="1" t="str">
        <f t="shared" si="14"/>
        <v>Quebec</v>
      </c>
      <c r="D958" s="1" t="s">
        <v>73</v>
      </c>
      <c r="E958" s="5">
        <v>42</v>
      </c>
      <c r="F958" s="1" t="s">
        <v>32</v>
      </c>
      <c r="G958" s="1" t="s">
        <v>32</v>
      </c>
      <c r="H958" t="s">
        <v>2270</v>
      </c>
      <c r="I958" s="1" t="s">
        <v>17</v>
      </c>
      <c r="J958" s="1" t="s">
        <v>25</v>
      </c>
      <c r="K958" s="1" t="s">
        <v>31</v>
      </c>
      <c r="L958" s="1" t="s">
        <v>32</v>
      </c>
      <c r="M958" s="1" t="s">
        <v>2098</v>
      </c>
      <c r="N958" s="1" t="s">
        <v>60</v>
      </c>
      <c r="O958" s="1" t="s">
        <v>2276</v>
      </c>
    </row>
    <row r="959" spans="1:15" x14ac:dyDescent="0.25">
      <c r="A959">
        <v>2283</v>
      </c>
      <c r="B959" s="1" t="s">
        <v>27</v>
      </c>
      <c r="C959" s="1" t="str">
        <f t="shared" si="14"/>
        <v>Ontario</v>
      </c>
      <c r="D959" s="1" t="s">
        <v>14</v>
      </c>
      <c r="E959" s="5">
        <v>50</v>
      </c>
      <c r="F959" s="1" t="s">
        <v>616</v>
      </c>
      <c r="G959" s="1" t="s">
        <v>2099</v>
      </c>
      <c r="H959" t="s">
        <v>2270</v>
      </c>
      <c r="I959" s="1" t="s">
        <v>40</v>
      </c>
      <c r="J959" s="1" t="s">
        <v>18</v>
      </c>
      <c r="K959" s="1" t="s">
        <v>31</v>
      </c>
      <c r="L959" s="1" t="s">
        <v>32</v>
      </c>
      <c r="M959" s="1" t="s">
        <v>2100</v>
      </c>
      <c r="N959" s="1" t="s">
        <v>22</v>
      </c>
      <c r="O959" s="1" t="s">
        <v>2275</v>
      </c>
    </row>
    <row r="960" spans="1:15" x14ac:dyDescent="0.25">
      <c r="A960">
        <v>2284</v>
      </c>
      <c r="B960" s="1" t="s">
        <v>27</v>
      </c>
      <c r="C960" s="1" t="str">
        <f t="shared" si="14"/>
        <v>Ontario</v>
      </c>
      <c r="D960" s="1" t="s">
        <v>14</v>
      </c>
      <c r="E960" s="5">
        <v>35</v>
      </c>
      <c r="F960" s="1" t="s">
        <v>2101</v>
      </c>
      <c r="G960" s="1" t="s">
        <v>2102</v>
      </c>
      <c r="H960" t="s">
        <v>2270</v>
      </c>
      <c r="I960" s="1" t="s">
        <v>40</v>
      </c>
      <c r="J960" s="1" t="s">
        <v>44</v>
      </c>
      <c r="K960" s="1" t="s">
        <v>31</v>
      </c>
      <c r="L960" s="1" t="s">
        <v>32</v>
      </c>
      <c r="M960" s="1" t="s">
        <v>2103</v>
      </c>
      <c r="N960" s="1" t="s">
        <v>22</v>
      </c>
      <c r="O960" s="1" t="s">
        <v>2275</v>
      </c>
    </row>
    <row r="961" spans="1:15" x14ac:dyDescent="0.25">
      <c r="A961">
        <v>2285</v>
      </c>
      <c r="B961" s="1" t="s">
        <v>354</v>
      </c>
      <c r="C961" s="1" t="str">
        <f t="shared" si="14"/>
        <v>Quebec</v>
      </c>
      <c r="D961" s="1" t="s">
        <v>14</v>
      </c>
      <c r="E961" s="5">
        <v>44</v>
      </c>
      <c r="F961" s="1" t="s">
        <v>32</v>
      </c>
      <c r="G961" s="1" t="s">
        <v>32</v>
      </c>
      <c r="H961" t="s">
        <v>2270</v>
      </c>
      <c r="I961" s="1" t="s">
        <v>17</v>
      </c>
      <c r="J961" s="1" t="s">
        <v>25</v>
      </c>
      <c r="K961" s="1" t="s">
        <v>32</v>
      </c>
      <c r="L961" s="1" t="s">
        <v>91</v>
      </c>
      <c r="M961" s="1" t="s">
        <v>2104</v>
      </c>
      <c r="N961" s="1" t="s">
        <v>22</v>
      </c>
      <c r="O961" s="1" t="s">
        <v>2276</v>
      </c>
    </row>
    <row r="962" spans="1:15" x14ac:dyDescent="0.25">
      <c r="A962">
        <v>2286</v>
      </c>
      <c r="B962" s="1" t="s">
        <v>354</v>
      </c>
      <c r="C962" s="1" t="str">
        <f t="shared" ref="C962:C1025" si="15">IF(B962="NB","New Brunswick",IF(B962="AB","Alberta",IF(B962="BC","British Columbia",IF(B962="MB","Manitoba",IF(B962="NL","Newfoundland and Labrador",IF(B962="NS","Nova Scotia",IF(B962="ON","Ontario",IF(B962="PE","Prince Edward Island",IF(B962="QC","Quebec",IF(B962="SK","Saskatchewan",""))))))))))</f>
        <v>Quebec</v>
      </c>
      <c r="D962" s="1" t="s">
        <v>14</v>
      </c>
      <c r="E962" s="5">
        <v>42</v>
      </c>
      <c r="F962" s="1" t="s">
        <v>2105</v>
      </c>
      <c r="G962" s="1" t="s">
        <v>32</v>
      </c>
      <c r="H962" t="s">
        <v>2270</v>
      </c>
      <c r="I962" s="1" t="s">
        <v>32</v>
      </c>
      <c r="J962" s="1" t="s">
        <v>25</v>
      </c>
      <c r="K962" s="1" t="s">
        <v>32</v>
      </c>
      <c r="L962" s="1" t="s">
        <v>91</v>
      </c>
      <c r="M962" s="1" t="s">
        <v>2106</v>
      </c>
      <c r="N962" s="1" t="s">
        <v>22</v>
      </c>
      <c r="O962" s="1" t="s">
        <v>2276</v>
      </c>
    </row>
    <row r="963" spans="1:15" x14ac:dyDescent="0.25">
      <c r="A963">
        <v>2287</v>
      </c>
      <c r="B963" s="1" t="s">
        <v>354</v>
      </c>
      <c r="C963" s="1" t="str">
        <f t="shared" si="15"/>
        <v>Quebec</v>
      </c>
      <c r="D963" s="1" t="s">
        <v>14</v>
      </c>
      <c r="E963" s="5">
        <v>39</v>
      </c>
      <c r="F963" s="1" t="s">
        <v>2107</v>
      </c>
      <c r="G963" s="1" t="s">
        <v>32</v>
      </c>
      <c r="H963" t="s">
        <v>2270</v>
      </c>
      <c r="I963" s="1" t="s">
        <v>17</v>
      </c>
      <c r="J963" s="1" t="s">
        <v>25</v>
      </c>
      <c r="K963" s="1" t="s">
        <v>32</v>
      </c>
      <c r="L963" s="1" t="s">
        <v>91</v>
      </c>
      <c r="M963" s="1" t="s">
        <v>2108</v>
      </c>
      <c r="N963" s="1" t="s">
        <v>60</v>
      </c>
      <c r="O963" s="1" t="s">
        <v>2276</v>
      </c>
    </row>
    <row r="964" spans="1:15" x14ac:dyDescent="0.25">
      <c r="A964">
        <v>2288</v>
      </c>
      <c r="B964" s="1" t="s">
        <v>354</v>
      </c>
      <c r="C964" s="1" t="str">
        <f t="shared" si="15"/>
        <v>Quebec</v>
      </c>
      <c r="D964" s="1" t="s">
        <v>14</v>
      </c>
      <c r="E964" s="5">
        <v>44</v>
      </c>
      <c r="F964" s="1" t="s">
        <v>32</v>
      </c>
      <c r="G964" s="1" t="s">
        <v>32</v>
      </c>
      <c r="H964" t="s">
        <v>2270</v>
      </c>
      <c r="I964" s="1" t="s">
        <v>17</v>
      </c>
      <c r="J964" s="1" t="s">
        <v>25</v>
      </c>
      <c r="K964" s="1" t="s">
        <v>32</v>
      </c>
      <c r="L964" s="1" t="s">
        <v>91</v>
      </c>
      <c r="M964" s="1" t="s">
        <v>2109</v>
      </c>
      <c r="N964" s="1" t="s">
        <v>22</v>
      </c>
      <c r="O964" s="1" t="s">
        <v>2276</v>
      </c>
    </row>
    <row r="965" spans="1:15" x14ac:dyDescent="0.25">
      <c r="A965">
        <v>2289</v>
      </c>
      <c r="B965" s="1" t="s">
        <v>354</v>
      </c>
      <c r="C965" s="1" t="str">
        <f t="shared" si="15"/>
        <v>Quebec</v>
      </c>
      <c r="D965" s="1" t="s">
        <v>14</v>
      </c>
      <c r="E965" s="5">
        <v>43</v>
      </c>
      <c r="F965" s="1" t="s">
        <v>2110</v>
      </c>
      <c r="G965" s="1" t="s">
        <v>32</v>
      </c>
      <c r="H965" t="s">
        <v>2270</v>
      </c>
      <c r="I965" s="1" t="s">
        <v>32</v>
      </c>
      <c r="J965" s="1" t="s">
        <v>25</v>
      </c>
      <c r="K965" s="1" t="s">
        <v>32</v>
      </c>
      <c r="L965" s="1" t="s">
        <v>20</v>
      </c>
      <c r="M965" s="1" t="s">
        <v>2111</v>
      </c>
      <c r="N965" s="1" t="s">
        <v>22</v>
      </c>
      <c r="O965" s="1" t="s">
        <v>2276</v>
      </c>
    </row>
    <row r="966" spans="1:15" x14ac:dyDescent="0.25">
      <c r="A966">
        <v>2290</v>
      </c>
      <c r="B966" s="1" t="s">
        <v>354</v>
      </c>
      <c r="C966" s="1" t="str">
        <f t="shared" si="15"/>
        <v>Quebec</v>
      </c>
      <c r="D966" s="1" t="s">
        <v>14</v>
      </c>
      <c r="E966" s="5">
        <v>55</v>
      </c>
      <c r="F966" s="1" t="s">
        <v>32</v>
      </c>
      <c r="G966" s="1" t="s">
        <v>32</v>
      </c>
      <c r="H966" t="s">
        <v>2270</v>
      </c>
      <c r="I966" s="1" t="s">
        <v>17</v>
      </c>
      <c r="J966" s="1" t="s">
        <v>25</v>
      </c>
      <c r="K966" s="1" t="s">
        <v>32</v>
      </c>
      <c r="L966" s="1" t="s">
        <v>91</v>
      </c>
      <c r="M966" s="1" t="s">
        <v>2112</v>
      </c>
      <c r="N966" s="1" t="s">
        <v>22</v>
      </c>
      <c r="O966" s="1" t="s">
        <v>2276</v>
      </c>
    </row>
    <row r="967" spans="1:15" x14ac:dyDescent="0.25">
      <c r="A967">
        <v>2291</v>
      </c>
      <c r="B967" s="1" t="s">
        <v>354</v>
      </c>
      <c r="C967" s="1" t="str">
        <f t="shared" si="15"/>
        <v>Quebec</v>
      </c>
      <c r="D967" s="1" t="s">
        <v>14</v>
      </c>
      <c r="E967" s="5">
        <v>52</v>
      </c>
      <c r="F967" s="1" t="s">
        <v>32</v>
      </c>
      <c r="G967" s="1" t="s">
        <v>32</v>
      </c>
      <c r="H967" t="s">
        <v>2270</v>
      </c>
      <c r="I967" s="1" t="s">
        <v>17</v>
      </c>
      <c r="J967" s="1" t="s">
        <v>25</v>
      </c>
      <c r="K967" s="1" t="s">
        <v>32</v>
      </c>
      <c r="L967" s="1" t="s">
        <v>91</v>
      </c>
      <c r="M967" s="1" t="s">
        <v>2113</v>
      </c>
      <c r="N967" s="1" t="s">
        <v>22</v>
      </c>
      <c r="O967" s="1" t="s">
        <v>2276</v>
      </c>
    </row>
    <row r="968" spans="1:15" x14ac:dyDescent="0.25">
      <c r="A968">
        <v>2292</v>
      </c>
      <c r="B968" s="1" t="s">
        <v>354</v>
      </c>
      <c r="C968" s="1" t="str">
        <f t="shared" si="15"/>
        <v>Quebec</v>
      </c>
      <c r="D968" s="1" t="s">
        <v>14</v>
      </c>
      <c r="E968" s="5">
        <v>40</v>
      </c>
      <c r="F968" s="1" t="s">
        <v>32</v>
      </c>
      <c r="G968" s="1" t="s">
        <v>32</v>
      </c>
      <c r="H968" t="s">
        <v>2270</v>
      </c>
      <c r="I968" s="1" t="s">
        <v>64</v>
      </c>
      <c r="J968" s="1" t="s">
        <v>25</v>
      </c>
      <c r="K968" s="1" t="s">
        <v>32</v>
      </c>
      <c r="L968" s="1" t="s">
        <v>91</v>
      </c>
      <c r="M968" s="1" t="s">
        <v>2114</v>
      </c>
      <c r="N968" s="1" t="s">
        <v>22</v>
      </c>
      <c r="O968" s="1" t="s">
        <v>2276</v>
      </c>
    </row>
    <row r="969" spans="1:15" x14ac:dyDescent="0.25">
      <c r="A969">
        <v>2293</v>
      </c>
      <c r="B969" s="1" t="s">
        <v>354</v>
      </c>
      <c r="C969" s="1" t="str">
        <f t="shared" si="15"/>
        <v>Quebec</v>
      </c>
      <c r="D969" s="1" t="s">
        <v>14</v>
      </c>
      <c r="E969" s="5">
        <v>39</v>
      </c>
      <c r="F969" s="1" t="s">
        <v>32</v>
      </c>
      <c r="G969" s="1" t="s">
        <v>32</v>
      </c>
      <c r="H969" t="s">
        <v>2271</v>
      </c>
      <c r="I969" s="1" t="s">
        <v>64</v>
      </c>
      <c r="J969" s="1" t="s">
        <v>25</v>
      </c>
      <c r="K969" s="1" t="s">
        <v>32</v>
      </c>
      <c r="L969" s="1" t="s">
        <v>91</v>
      </c>
      <c r="M969" s="1" t="s">
        <v>2078</v>
      </c>
      <c r="N969" s="1" t="s">
        <v>60</v>
      </c>
      <c r="O969" s="1" t="s">
        <v>2276</v>
      </c>
    </row>
    <row r="970" spans="1:15" x14ac:dyDescent="0.25">
      <c r="A970">
        <v>2294</v>
      </c>
      <c r="B970" s="1" t="s">
        <v>354</v>
      </c>
      <c r="C970" s="1" t="str">
        <f t="shared" si="15"/>
        <v>Quebec</v>
      </c>
      <c r="D970" s="1" t="s">
        <v>14</v>
      </c>
      <c r="E970" s="5">
        <v>40</v>
      </c>
      <c r="F970" s="1" t="s">
        <v>32</v>
      </c>
      <c r="G970" s="1" t="s">
        <v>32</v>
      </c>
      <c r="H970" t="s">
        <v>2271</v>
      </c>
      <c r="I970" s="1" t="s">
        <v>64</v>
      </c>
      <c r="J970" s="1" t="s">
        <v>25</v>
      </c>
      <c r="K970" s="1" t="s">
        <v>32</v>
      </c>
      <c r="L970" s="1" t="s">
        <v>91</v>
      </c>
      <c r="M970" s="1" t="s">
        <v>2115</v>
      </c>
      <c r="N970" s="1" t="s">
        <v>22</v>
      </c>
      <c r="O970" s="1" t="s">
        <v>2276</v>
      </c>
    </row>
    <row r="971" spans="1:15" x14ac:dyDescent="0.25">
      <c r="A971">
        <v>2295</v>
      </c>
      <c r="B971" s="1" t="s">
        <v>354</v>
      </c>
      <c r="C971" s="1" t="str">
        <f t="shared" si="15"/>
        <v>Quebec</v>
      </c>
      <c r="D971" s="1" t="s">
        <v>14</v>
      </c>
      <c r="E971" s="5">
        <v>52</v>
      </c>
      <c r="F971" s="1" t="s">
        <v>32</v>
      </c>
      <c r="G971" s="1" t="s">
        <v>32</v>
      </c>
      <c r="H971" t="s">
        <v>2271</v>
      </c>
      <c r="I971" s="1" t="s">
        <v>17</v>
      </c>
      <c r="J971" s="1" t="s">
        <v>25</v>
      </c>
      <c r="K971" s="1" t="s">
        <v>32</v>
      </c>
      <c r="L971" s="1" t="s">
        <v>32</v>
      </c>
      <c r="M971" s="1" t="s">
        <v>2116</v>
      </c>
      <c r="N971" s="1" t="s">
        <v>22</v>
      </c>
      <c r="O971" s="1" t="s">
        <v>2276</v>
      </c>
    </row>
    <row r="972" spans="1:15" x14ac:dyDescent="0.25">
      <c r="A972">
        <v>2296</v>
      </c>
      <c r="B972" s="1" t="s">
        <v>354</v>
      </c>
      <c r="C972" s="1" t="str">
        <f t="shared" si="15"/>
        <v>Quebec</v>
      </c>
      <c r="D972" s="1" t="s">
        <v>14</v>
      </c>
      <c r="E972" s="5">
        <v>55</v>
      </c>
      <c r="F972" s="1" t="s">
        <v>32</v>
      </c>
      <c r="G972" s="1" t="s">
        <v>32</v>
      </c>
      <c r="H972" t="s">
        <v>2271</v>
      </c>
      <c r="I972" s="1" t="s">
        <v>17</v>
      </c>
      <c r="J972" s="1" t="s">
        <v>25</v>
      </c>
      <c r="K972" s="1" t="s">
        <v>32</v>
      </c>
      <c r="L972" s="1" t="s">
        <v>91</v>
      </c>
      <c r="M972" s="1" t="s">
        <v>2117</v>
      </c>
      <c r="N972" s="1" t="s">
        <v>22</v>
      </c>
      <c r="O972" s="1" t="s">
        <v>2276</v>
      </c>
    </row>
    <row r="973" spans="1:15" x14ac:dyDescent="0.25">
      <c r="A973">
        <v>2297</v>
      </c>
      <c r="B973" s="1" t="s">
        <v>354</v>
      </c>
      <c r="C973" s="1" t="str">
        <f t="shared" si="15"/>
        <v>Quebec</v>
      </c>
      <c r="D973" s="1" t="s">
        <v>14</v>
      </c>
      <c r="E973" s="5">
        <v>43</v>
      </c>
      <c r="F973" s="1" t="s">
        <v>32</v>
      </c>
      <c r="G973" s="1" t="s">
        <v>32</v>
      </c>
      <c r="H973" t="s">
        <v>2271</v>
      </c>
      <c r="I973" s="1" t="s">
        <v>64</v>
      </c>
      <c r="J973" s="1" t="s">
        <v>25</v>
      </c>
      <c r="K973" s="1" t="s">
        <v>32</v>
      </c>
      <c r="L973" s="1" t="s">
        <v>91</v>
      </c>
      <c r="M973" s="1" t="s">
        <v>2118</v>
      </c>
      <c r="N973" s="1" t="s">
        <v>22</v>
      </c>
      <c r="O973" s="1" t="s">
        <v>2276</v>
      </c>
    </row>
    <row r="974" spans="1:15" x14ac:dyDescent="0.25">
      <c r="A974">
        <v>2298</v>
      </c>
      <c r="B974" s="1" t="s">
        <v>354</v>
      </c>
      <c r="C974" s="1" t="str">
        <f t="shared" si="15"/>
        <v>Quebec</v>
      </c>
      <c r="D974" s="1" t="s">
        <v>28</v>
      </c>
      <c r="E974" s="5">
        <v>50</v>
      </c>
      <c r="F974" s="1" t="s">
        <v>2119</v>
      </c>
      <c r="G974" s="1" t="s">
        <v>32</v>
      </c>
      <c r="H974" t="s">
        <v>2270</v>
      </c>
      <c r="I974" s="1" t="s">
        <v>17</v>
      </c>
      <c r="J974" s="1" t="s">
        <v>25</v>
      </c>
      <c r="K974" s="1" t="s">
        <v>31</v>
      </c>
      <c r="L974" s="1" t="s">
        <v>91</v>
      </c>
      <c r="M974" s="1" t="s">
        <v>2120</v>
      </c>
      <c r="N974" s="1" t="s">
        <v>22</v>
      </c>
      <c r="O974" s="1" t="s">
        <v>2276</v>
      </c>
    </row>
    <row r="975" spans="1:15" x14ac:dyDescent="0.25">
      <c r="A975">
        <v>2299</v>
      </c>
      <c r="B975" s="1" t="s">
        <v>354</v>
      </c>
      <c r="C975" s="1" t="str">
        <f t="shared" si="15"/>
        <v>Quebec</v>
      </c>
      <c r="D975" s="1" t="s">
        <v>28</v>
      </c>
      <c r="E975" s="5">
        <v>35</v>
      </c>
      <c r="F975" s="1" t="s">
        <v>2121</v>
      </c>
      <c r="G975" s="1" t="s">
        <v>32</v>
      </c>
      <c r="H975" t="s">
        <v>2270</v>
      </c>
      <c r="I975" s="1" t="s">
        <v>17</v>
      </c>
      <c r="J975" s="1" t="s">
        <v>25</v>
      </c>
      <c r="K975" s="1" t="s">
        <v>31</v>
      </c>
      <c r="L975" s="1" t="s">
        <v>91</v>
      </c>
      <c r="M975" s="1" t="s">
        <v>2122</v>
      </c>
      <c r="N975" s="1" t="s">
        <v>60</v>
      </c>
      <c r="O975" s="1" t="s">
        <v>2276</v>
      </c>
    </row>
    <row r="976" spans="1:15" x14ac:dyDescent="0.25">
      <c r="A976">
        <v>2300</v>
      </c>
      <c r="B976" s="1" t="s">
        <v>354</v>
      </c>
      <c r="C976" s="1" t="str">
        <f t="shared" si="15"/>
        <v>Quebec</v>
      </c>
      <c r="D976" s="1" t="s">
        <v>73</v>
      </c>
      <c r="E976" s="5">
        <v>67</v>
      </c>
      <c r="F976" s="1" t="s">
        <v>2123</v>
      </c>
      <c r="G976" s="1" t="s">
        <v>2124</v>
      </c>
      <c r="H976" t="s">
        <v>2270</v>
      </c>
      <c r="I976" s="1" t="s">
        <v>40</v>
      </c>
      <c r="J976" s="1" t="s">
        <v>25</v>
      </c>
      <c r="K976" s="1" t="s">
        <v>31</v>
      </c>
      <c r="L976" s="1" t="s">
        <v>91</v>
      </c>
      <c r="M976" s="1" t="s">
        <v>2125</v>
      </c>
      <c r="N976" s="1" t="s">
        <v>22</v>
      </c>
      <c r="O976" s="1" t="s">
        <v>2276</v>
      </c>
    </row>
    <row r="977" spans="1:15" x14ac:dyDescent="0.25">
      <c r="A977">
        <v>2301</v>
      </c>
      <c r="B977" s="1" t="s">
        <v>354</v>
      </c>
      <c r="C977" s="1" t="str">
        <f t="shared" si="15"/>
        <v>Quebec</v>
      </c>
      <c r="D977" s="1" t="s">
        <v>73</v>
      </c>
      <c r="E977" s="5">
        <v>35</v>
      </c>
      <c r="F977" s="1" t="s">
        <v>2126</v>
      </c>
      <c r="G977" s="1" t="s">
        <v>32</v>
      </c>
      <c r="H977" t="s">
        <v>2270</v>
      </c>
      <c r="I977" s="1" t="s">
        <v>17</v>
      </c>
      <c r="J977" s="1" t="s">
        <v>18</v>
      </c>
      <c r="K977" s="1" t="s">
        <v>107</v>
      </c>
      <c r="L977" s="1" t="s">
        <v>20</v>
      </c>
      <c r="M977" s="1" t="s">
        <v>2127</v>
      </c>
      <c r="N977" s="1" t="s">
        <v>60</v>
      </c>
      <c r="O977" s="1" t="s">
        <v>2276</v>
      </c>
    </row>
    <row r="978" spans="1:15" x14ac:dyDescent="0.25">
      <c r="A978">
        <v>2302</v>
      </c>
      <c r="B978" s="1" t="s">
        <v>354</v>
      </c>
      <c r="C978" s="1" t="str">
        <f t="shared" si="15"/>
        <v>Quebec</v>
      </c>
      <c r="D978" s="1" t="s">
        <v>14</v>
      </c>
      <c r="E978" s="5">
        <v>43</v>
      </c>
      <c r="F978" s="1" t="s">
        <v>2128</v>
      </c>
      <c r="G978" s="1" t="s">
        <v>32</v>
      </c>
      <c r="H978" t="s">
        <v>2270</v>
      </c>
      <c r="I978" s="1" t="s">
        <v>24</v>
      </c>
      <c r="J978" s="1" t="s">
        <v>18</v>
      </c>
      <c r="K978" s="1" t="s">
        <v>31</v>
      </c>
      <c r="L978" s="1" t="s">
        <v>20</v>
      </c>
      <c r="M978" s="1" t="s">
        <v>2129</v>
      </c>
      <c r="N978" s="1" t="s">
        <v>22</v>
      </c>
      <c r="O978" s="1" t="s">
        <v>2276</v>
      </c>
    </row>
    <row r="979" spans="1:15" x14ac:dyDescent="0.25">
      <c r="A979">
        <v>2303</v>
      </c>
      <c r="B979" s="1" t="s">
        <v>354</v>
      </c>
      <c r="C979" s="1" t="str">
        <f t="shared" si="15"/>
        <v>Quebec</v>
      </c>
      <c r="D979" s="1" t="s">
        <v>14</v>
      </c>
      <c r="E979" s="5">
        <v>61</v>
      </c>
      <c r="F979" s="1" t="s">
        <v>32</v>
      </c>
      <c r="G979" s="1" t="s">
        <v>32</v>
      </c>
      <c r="H979" t="s">
        <v>2270</v>
      </c>
      <c r="I979" s="1" t="s">
        <v>40</v>
      </c>
      <c r="J979" s="1" t="s">
        <v>18</v>
      </c>
      <c r="K979" s="1" t="s">
        <v>31</v>
      </c>
      <c r="L979" s="1" t="s">
        <v>91</v>
      </c>
      <c r="M979" s="1" t="s">
        <v>2130</v>
      </c>
      <c r="N979" s="1" t="s">
        <v>22</v>
      </c>
      <c r="O979" s="1" t="s">
        <v>2276</v>
      </c>
    </row>
    <row r="980" spans="1:15" x14ac:dyDescent="0.25">
      <c r="A980">
        <v>2304</v>
      </c>
      <c r="B980" s="1" t="s">
        <v>354</v>
      </c>
      <c r="C980" s="1" t="str">
        <f t="shared" si="15"/>
        <v>Quebec</v>
      </c>
      <c r="D980" s="1" t="s">
        <v>14</v>
      </c>
      <c r="E980" s="5">
        <v>72</v>
      </c>
      <c r="F980" s="1" t="s">
        <v>2131</v>
      </c>
      <c r="G980" s="1" t="s">
        <v>32</v>
      </c>
      <c r="H980" t="s">
        <v>2270</v>
      </c>
      <c r="I980" s="1" t="s">
        <v>40</v>
      </c>
      <c r="J980" s="1" t="s">
        <v>18</v>
      </c>
      <c r="K980" s="1" t="s">
        <v>31</v>
      </c>
      <c r="L980" s="1" t="s">
        <v>91</v>
      </c>
      <c r="M980" s="1" t="s">
        <v>2132</v>
      </c>
      <c r="N980" s="1" t="s">
        <v>22</v>
      </c>
      <c r="O980" s="1" t="s">
        <v>2276</v>
      </c>
    </row>
    <row r="981" spans="1:15" x14ac:dyDescent="0.25">
      <c r="A981">
        <v>2305</v>
      </c>
      <c r="B981" s="1" t="s">
        <v>354</v>
      </c>
      <c r="C981" s="1" t="str">
        <f t="shared" si="15"/>
        <v>Quebec</v>
      </c>
      <c r="D981" s="1" t="s">
        <v>14</v>
      </c>
      <c r="E981" s="5">
        <v>47</v>
      </c>
      <c r="F981" s="1" t="s">
        <v>2133</v>
      </c>
      <c r="G981" s="1" t="s">
        <v>32</v>
      </c>
      <c r="H981" t="s">
        <v>2270</v>
      </c>
      <c r="I981" s="1" t="s">
        <v>24</v>
      </c>
      <c r="J981" s="1" t="s">
        <v>18</v>
      </c>
      <c r="K981" s="1" t="s">
        <v>31</v>
      </c>
      <c r="L981" s="1" t="s">
        <v>45</v>
      </c>
      <c r="M981" s="1" t="s">
        <v>2134</v>
      </c>
      <c r="N981" s="1" t="s">
        <v>22</v>
      </c>
      <c r="O981" s="1" t="s">
        <v>2276</v>
      </c>
    </row>
    <row r="982" spans="1:15" x14ac:dyDescent="0.25">
      <c r="A982">
        <v>2306</v>
      </c>
      <c r="B982" s="1" t="s">
        <v>354</v>
      </c>
      <c r="C982" s="1" t="str">
        <f t="shared" si="15"/>
        <v>Quebec</v>
      </c>
      <c r="D982" s="1" t="s">
        <v>14</v>
      </c>
      <c r="E982" s="5">
        <v>43</v>
      </c>
      <c r="F982" s="1" t="s">
        <v>32</v>
      </c>
      <c r="G982" s="1" t="s">
        <v>32</v>
      </c>
      <c r="H982" t="s">
        <v>2270</v>
      </c>
      <c r="I982" s="1" t="s">
        <v>40</v>
      </c>
      <c r="J982" s="1" t="s">
        <v>18</v>
      </c>
      <c r="K982" s="1" t="s">
        <v>31</v>
      </c>
      <c r="L982" s="1" t="s">
        <v>91</v>
      </c>
      <c r="M982" s="1" t="s">
        <v>2135</v>
      </c>
      <c r="N982" s="1" t="s">
        <v>22</v>
      </c>
      <c r="O982" s="1" t="s">
        <v>2276</v>
      </c>
    </row>
    <row r="983" spans="1:15" x14ac:dyDescent="0.25">
      <c r="A983">
        <v>2307</v>
      </c>
      <c r="B983" s="1" t="s">
        <v>354</v>
      </c>
      <c r="C983" s="1" t="str">
        <f t="shared" si="15"/>
        <v>Quebec</v>
      </c>
      <c r="D983" s="1" t="s">
        <v>28</v>
      </c>
      <c r="E983" s="5">
        <v>58</v>
      </c>
      <c r="F983" s="1" t="s">
        <v>676</v>
      </c>
      <c r="G983" s="1" t="s">
        <v>677</v>
      </c>
      <c r="H983" t="s">
        <v>2270</v>
      </c>
      <c r="I983" s="1" t="s">
        <v>43</v>
      </c>
      <c r="J983" s="1" t="s">
        <v>25</v>
      </c>
      <c r="K983" s="1" t="s">
        <v>31</v>
      </c>
      <c r="L983" s="1" t="s">
        <v>45</v>
      </c>
      <c r="M983" s="1" t="s">
        <v>2136</v>
      </c>
      <c r="N983" s="1" t="s">
        <v>22</v>
      </c>
      <c r="O983" s="1" t="s">
        <v>2276</v>
      </c>
    </row>
    <row r="984" spans="1:15" x14ac:dyDescent="0.25">
      <c r="A984">
        <v>2308</v>
      </c>
      <c r="B984" s="1" t="s">
        <v>354</v>
      </c>
      <c r="C984" s="1" t="str">
        <f t="shared" si="15"/>
        <v>Quebec</v>
      </c>
      <c r="D984" s="1" t="s">
        <v>28</v>
      </c>
      <c r="E984" s="5">
        <v>34</v>
      </c>
      <c r="F984" s="1" t="s">
        <v>2137</v>
      </c>
      <c r="G984" s="1" t="s">
        <v>2138</v>
      </c>
      <c r="H984" t="s">
        <v>2270</v>
      </c>
      <c r="I984" s="1" t="s">
        <v>17</v>
      </c>
      <c r="J984" s="1" t="s">
        <v>25</v>
      </c>
      <c r="K984" s="1" t="s">
        <v>31</v>
      </c>
      <c r="L984" s="1" t="s">
        <v>20</v>
      </c>
      <c r="M984" s="1" t="s">
        <v>2139</v>
      </c>
      <c r="N984" s="1" t="s">
        <v>60</v>
      </c>
      <c r="O984" s="1" t="s">
        <v>2276</v>
      </c>
    </row>
    <row r="985" spans="1:15" x14ac:dyDescent="0.25">
      <c r="A985">
        <v>2309</v>
      </c>
      <c r="B985" s="1" t="s">
        <v>354</v>
      </c>
      <c r="C985" s="1" t="str">
        <f t="shared" si="15"/>
        <v>Quebec</v>
      </c>
      <c r="D985" s="1" t="s">
        <v>28</v>
      </c>
      <c r="E985" s="5">
        <v>50</v>
      </c>
      <c r="F985" s="1" t="s">
        <v>2140</v>
      </c>
      <c r="G985" s="1" t="s">
        <v>2141</v>
      </c>
      <c r="H985" t="s">
        <v>2270</v>
      </c>
      <c r="I985" s="1" t="s">
        <v>43</v>
      </c>
      <c r="J985" s="1" t="s">
        <v>25</v>
      </c>
      <c r="K985" s="1" t="s">
        <v>31</v>
      </c>
      <c r="L985" s="1" t="s">
        <v>20</v>
      </c>
      <c r="M985" s="1" t="s">
        <v>2142</v>
      </c>
      <c r="N985" s="1" t="s">
        <v>60</v>
      </c>
      <c r="O985" s="1" t="s">
        <v>2276</v>
      </c>
    </row>
    <row r="986" spans="1:15" x14ac:dyDescent="0.25">
      <c r="A986">
        <v>2310</v>
      </c>
      <c r="B986" s="1" t="s">
        <v>354</v>
      </c>
      <c r="C986" s="1" t="str">
        <f t="shared" si="15"/>
        <v>Quebec</v>
      </c>
      <c r="D986" s="1" t="s">
        <v>28</v>
      </c>
      <c r="E986" s="5">
        <v>50</v>
      </c>
      <c r="F986" s="1" t="s">
        <v>2143</v>
      </c>
      <c r="G986" s="1" t="s">
        <v>2144</v>
      </c>
      <c r="H986" t="s">
        <v>2270</v>
      </c>
      <c r="I986" s="1" t="s">
        <v>43</v>
      </c>
      <c r="J986" s="1" t="s">
        <v>25</v>
      </c>
      <c r="K986" s="1" t="s">
        <v>31</v>
      </c>
      <c r="L986" s="1" t="s">
        <v>45</v>
      </c>
      <c r="M986" s="1" t="s">
        <v>2145</v>
      </c>
      <c r="N986" s="1" t="s">
        <v>60</v>
      </c>
      <c r="O986" s="1" t="s">
        <v>2276</v>
      </c>
    </row>
    <row r="987" spans="1:15" x14ac:dyDescent="0.25">
      <c r="A987">
        <v>2311</v>
      </c>
      <c r="B987" s="1" t="s">
        <v>354</v>
      </c>
      <c r="C987" s="1" t="str">
        <f t="shared" si="15"/>
        <v>Quebec</v>
      </c>
      <c r="D987" s="1" t="s">
        <v>28</v>
      </c>
      <c r="E987" s="5">
        <v>60</v>
      </c>
      <c r="F987" s="1" t="s">
        <v>2146</v>
      </c>
      <c r="G987" s="1" t="s">
        <v>32</v>
      </c>
      <c r="H987" t="s">
        <v>2270</v>
      </c>
      <c r="I987" s="1" t="s">
        <v>40</v>
      </c>
      <c r="J987" s="1" t="s">
        <v>232</v>
      </c>
      <c r="K987" s="1" t="s">
        <v>32</v>
      </c>
      <c r="L987" s="1" t="s">
        <v>91</v>
      </c>
      <c r="M987" s="1" t="s">
        <v>2147</v>
      </c>
      <c r="N987" s="1" t="s">
        <v>22</v>
      </c>
      <c r="O987" s="1" t="s">
        <v>2276</v>
      </c>
    </row>
    <row r="988" spans="1:15" x14ac:dyDescent="0.25">
      <c r="A988">
        <v>2316</v>
      </c>
      <c r="B988" s="1" t="s">
        <v>354</v>
      </c>
      <c r="C988" s="1" t="str">
        <f t="shared" si="15"/>
        <v>Quebec</v>
      </c>
      <c r="D988" s="1" t="s">
        <v>28</v>
      </c>
      <c r="E988" s="5">
        <v>60</v>
      </c>
      <c r="F988" s="1" t="s">
        <v>32</v>
      </c>
      <c r="G988" s="1" t="s">
        <v>32</v>
      </c>
      <c r="H988" t="s">
        <v>2270</v>
      </c>
      <c r="I988" s="1" t="s">
        <v>43</v>
      </c>
      <c r="J988" s="1" t="s">
        <v>25</v>
      </c>
      <c r="K988" s="1" t="s">
        <v>31</v>
      </c>
      <c r="L988" s="1" t="s">
        <v>91</v>
      </c>
      <c r="M988" s="1" t="s">
        <v>2148</v>
      </c>
      <c r="N988" s="1" t="s">
        <v>22</v>
      </c>
      <c r="O988" s="1" t="s">
        <v>2276</v>
      </c>
    </row>
    <row r="989" spans="1:15" x14ac:dyDescent="0.25">
      <c r="A989">
        <v>2317</v>
      </c>
      <c r="B989" s="1" t="s">
        <v>57</v>
      </c>
      <c r="C989" s="1" t="str">
        <f t="shared" si="15"/>
        <v>British Columbia</v>
      </c>
      <c r="D989" s="1" t="s">
        <v>73</v>
      </c>
      <c r="E989" s="5">
        <v>38</v>
      </c>
      <c r="F989" s="1" t="s">
        <v>2149</v>
      </c>
      <c r="G989" s="1" t="s">
        <v>2150</v>
      </c>
      <c r="H989" t="s">
        <v>2270</v>
      </c>
      <c r="I989" s="1" t="s">
        <v>17</v>
      </c>
      <c r="J989" s="1" t="s">
        <v>25</v>
      </c>
      <c r="K989" s="1" t="s">
        <v>31</v>
      </c>
      <c r="L989" s="1" t="s">
        <v>91</v>
      </c>
      <c r="M989" s="1" t="s">
        <v>2151</v>
      </c>
      <c r="N989" s="1" t="s">
        <v>60</v>
      </c>
      <c r="O989" s="1" t="s">
        <v>2274</v>
      </c>
    </row>
    <row r="990" spans="1:15" x14ac:dyDescent="0.25">
      <c r="A990">
        <v>2318</v>
      </c>
      <c r="B990" s="1" t="s">
        <v>57</v>
      </c>
      <c r="C990" s="1" t="str">
        <f t="shared" si="15"/>
        <v>British Columbia</v>
      </c>
      <c r="D990" s="1" t="s">
        <v>73</v>
      </c>
      <c r="E990" s="5">
        <v>38</v>
      </c>
      <c r="F990" s="1" t="s">
        <v>2152</v>
      </c>
      <c r="G990" s="1" t="s">
        <v>172</v>
      </c>
      <c r="H990" t="s">
        <v>2270</v>
      </c>
      <c r="I990" s="1" t="s">
        <v>17</v>
      </c>
      <c r="J990" s="1" t="s">
        <v>25</v>
      </c>
      <c r="K990" s="1" t="s">
        <v>31</v>
      </c>
      <c r="L990" s="1" t="s">
        <v>32</v>
      </c>
      <c r="M990" s="1" t="s">
        <v>2153</v>
      </c>
      <c r="N990" s="1" t="s">
        <v>60</v>
      </c>
      <c r="O990" s="1" t="s">
        <v>2274</v>
      </c>
    </row>
    <row r="991" spans="1:15" x14ac:dyDescent="0.25">
      <c r="A991">
        <v>2319</v>
      </c>
      <c r="B991" s="1" t="s">
        <v>104</v>
      </c>
      <c r="C991" s="1" t="str">
        <f t="shared" si="15"/>
        <v>Nova Scotia</v>
      </c>
      <c r="D991" s="1" t="s">
        <v>73</v>
      </c>
      <c r="E991" s="5">
        <v>40</v>
      </c>
      <c r="F991" s="1" t="s">
        <v>2154</v>
      </c>
      <c r="G991" s="1" t="s">
        <v>2155</v>
      </c>
      <c r="H991" t="s">
        <v>2270</v>
      </c>
      <c r="I991" s="1" t="s">
        <v>24</v>
      </c>
      <c r="J991" s="1" t="s">
        <v>25</v>
      </c>
      <c r="K991" s="1" t="s">
        <v>31</v>
      </c>
      <c r="L991" s="1" t="s">
        <v>32</v>
      </c>
      <c r="M991" s="1" t="s">
        <v>2156</v>
      </c>
      <c r="N991" s="1" t="s">
        <v>60</v>
      </c>
      <c r="O991" s="1" t="s">
        <v>2286</v>
      </c>
    </row>
    <row r="992" spans="1:15" x14ac:dyDescent="0.25">
      <c r="A992">
        <v>2320</v>
      </c>
      <c r="B992" s="1" t="s">
        <v>354</v>
      </c>
      <c r="C992" s="1" t="str">
        <f t="shared" si="15"/>
        <v>Quebec</v>
      </c>
      <c r="D992" s="1" t="s">
        <v>28</v>
      </c>
      <c r="E992" s="5">
        <v>55</v>
      </c>
      <c r="F992" s="1" t="s">
        <v>2157</v>
      </c>
      <c r="G992" s="1" t="s">
        <v>2158</v>
      </c>
      <c r="H992" t="s">
        <v>2270</v>
      </c>
      <c r="I992" s="1" t="s">
        <v>43</v>
      </c>
      <c r="J992" s="1" t="s">
        <v>25</v>
      </c>
      <c r="K992" s="1" t="s">
        <v>31</v>
      </c>
      <c r="L992" s="1" t="s">
        <v>91</v>
      </c>
      <c r="M992" s="1" t="s">
        <v>2159</v>
      </c>
      <c r="N992" s="1" t="s">
        <v>22</v>
      </c>
      <c r="O992" s="1" t="s">
        <v>2276</v>
      </c>
    </row>
    <row r="993" spans="1:15" x14ac:dyDescent="0.25">
      <c r="A993">
        <v>2321</v>
      </c>
      <c r="B993" s="1" t="s">
        <v>354</v>
      </c>
      <c r="C993" s="1" t="str">
        <f t="shared" si="15"/>
        <v>Quebec</v>
      </c>
      <c r="D993" s="1" t="s">
        <v>73</v>
      </c>
      <c r="E993" s="5">
        <v>42</v>
      </c>
      <c r="F993" s="1" t="s">
        <v>2160</v>
      </c>
      <c r="G993" s="1" t="s">
        <v>32</v>
      </c>
      <c r="H993" t="s">
        <v>2270</v>
      </c>
      <c r="I993" s="1" t="s">
        <v>32</v>
      </c>
      <c r="J993" s="1" t="s">
        <v>25</v>
      </c>
      <c r="K993" s="1" t="s">
        <v>31</v>
      </c>
      <c r="L993" s="1" t="s">
        <v>32</v>
      </c>
      <c r="M993" s="1" t="s">
        <v>2161</v>
      </c>
      <c r="N993" s="1" t="s">
        <v>60</v>
      </c>
      <c r="O993" s="1" t="s">
        <v>2276</v>
      </c>
    </row>
    <row r="994" spans="1:15" x14ac:dyDescent="0.25">
      <c r="A994">
        <v>2325</v>
      </c>
      <c r="B994" s="1" t="s">
        <v>354</v>
      </c>
      <c r="C994" s="1" t="str">
        <f t="shared" si="15"/>
        <v>Quebec</v>
      </c>
      <c r="D994" s="1" t="s">
        <v>73</v>
      </c>
      <c r="E994" s="5">
        <v>42</v>
      </c>
      <c r="F994" s="1" t="s">
        <v>2162</v>
      </c>
      <c r="G994" s="1" t="s">
        <v>32</v>
      </c>
      <c r="H994" t="s">
        <v>2270</v>
      </c>
      <c r="I994" s="1" t="s">
        <v>24</v>
      </c>
      <c r="J994" s="1" t="s">
        <v>25</v>
      </c>
      <c r="K994" s="1" t="s">
        <v>31</v>
      </c>
      <c r="L994" s="1" t="s">
        <v>32</v>
      </c>
      <c r="M994" s="1" t="s">
        <v>2163</v>
      </c>
      <c r="N994" s="1" t="s">
        <v>60</v>
      </c>
      <c r="O994" s="1" t="s">
        <v>2276</v>
      </c>
    </row>
    <row r="995" spans="1:15" x14ac:dyDescent="0.25">
      <c r="A995">
        <v>2326</v>
      </c>
      <c r="B995" s="1" t="s">
        <v>354</v>
      </c>
      <c r="C995" s="1" t="str">
        <f t="shared" si="15"/>
        <v>Quebec</v>
      </c>
      <c r="D995" s="1" t="s">
        <v>28</v>
      </c>
      <c r="E995" s="5">
        <v>39</v>
      </c>
      <c r="F995" s="1" t="s">
        <v>2164</v>
      </c>
      <c r="G995" s="1" t="s">
        <v>32</v>
      </c>
      <c r="H995" t="s">
        <v>2270</v>
      </c>
      <c r="I995" s="1" t="s">
        <v>17</v>
      </c>
      <c r="J995" s="1" t="s">
        <v>25</v>
      </c>
      <c r="K995" s="1" t="s">
        <v>31</v>
      </c>
      <c r="L995" s="1" t="s">
        <v>91</v>
      </c>
      <c r="M995" s="1" t="s">
        <v>2165</v>
      </c>
      <c r="N995" s="1" t="s">
        <v>60</v>
      </c>
      <c r="O995" s="1" t="s">
        <v>2276</v>
      </c>
    </row>
    <row r="996" spans="1:15" x14ac:dyDescent="0.25">
      <c r="A996">
        <v>2327</v>
      </c>
      <c r="B996" s="1" t="s">
        <v>354</v>
      </c>
      <c r="C996" s="1" t="str">
        <f t="shared" si="15"/>
        <v>Quebec</v>
      </c>
      <c r="D996" s="1" t="s">
        <v>73</v>
      </c>
      <c r="E996" s="5">
        <v>39</v>
      </c>
      <c r="F996" s="1" t="s">
        <v>32</v>
      </c>
      <c r="G996" s="1" t="s">
        <v>32</v>
      </c>
      <c r="H996" t="s">
        <v>2270</v>
      </c>
      <c r="I996" s="1" t="s">
        <v>17</v>
      </c>
      <c r="J996" s="1" t="s">
        <v>25</v>
      </c>
      <c r="K996" s="1" t="s">
        <v>31</v>
      </c>
      <c r="L996" s="1" t="s">
        <v>91</v>
      </c>
      <c r="M996" s="1" t="s">
        <v>2166</v>
      </c>
      <c r="N996" s="1" t="s">
        <v>60</v>
      </c>
      <c r="O996" s="1" t="s">
        <v>2276</v>
      </c>
    </row>
    <row r="997" spans="1:15" x14ac:dyDescent="0.25">
      <c r="A997">
        <v>2328</v>
      </c>
      <c r="B997" s="1" t="s">
        <v>354</v>
      </c>
      <c r="C997" s="1" t="str">
        <f t="shared" si="15"/>
        <v>Quebec</v>
      </c>
      <c r="D997" s="1" t="s">
        <v>73</v>
      </c>
      <c r="E997" s="5">
        <v>41</v>
      </c>
      <c r="F997" s="1" t="s">
        <v>2167</v>
      </c>
      <c r="G997" s="1" t="s">
        <v>32</v>
      </c>
      <c r="H997" t="s">
        <v>2270</v>
      </c>
      <c r="I997" s="1" t="s">
        <v>40</v>
      </c>
      <c r="J997" s="1" t="s">
        <v>25</v>
      </c>
      <c r="K997" s="1" t="s">
        <v>31</v>
      </c>
      <c r="L997" s="1" t="s">
        <v>91</v>
      </c>
      <c r="M997" s="1" t="s">
        <v>2080</v>
      </c>
      <c r="N997" s="1" t="s">
        <v>60</v>
      </c>
      <c r="O997" s="1" t="s">
        <v>2276</v>
      </c>
    </row>
    <row r="998" spans="1:15" x14ac:dyDescent="0.25">
      <c r="A998">
        <v>2329</v>
      </c>
      <c r="B998" s="1" t="s">
        <v>354</v>
      </c>
      <c r="C998" s="1" t="str">
        <f t="shared" si="15"/>
        <v>Quebec</v>
      </c>
      <c r="D998" s="1" t="s">
        <v>28</v>
      </c>
      <c r="E998" s="5">
        <v>39</v>
      </c>
      <c r="F998" s="1" t="s">
        <v>32</v>
      </c>
      <c r="G998" s="1" t="s">
        <v>32</v>
      </c>
      <c r="H998" t="s">
        <v>2270</v>
      </c>
      <c r="I998" s="1" t="s">
        <v>17</v>
      </c>
      <c r="J998" s="1" t="s">
        <v>25</v>
      </c>
      <c r="K998" s="1" t="s">
        <v>31</v>
      </c>
      <c r="L998" s="1" t="s">
        <v>91</v>
      </c>
      <c r="M998" s="1" t="s">
        <v>2168</v>
      </c>
      <c r="N998" s="1" t="s">
        <v>60</v>
      </c>
      <c r="O998" s="1" t="s">
        <v>2276</v>
      </c>
    </row>
    <row r="999" spans="1:15" x14ac:dyDescent="0.25">
      <c r="A999">
        <v>2330</v>
      </c>
      <c r="B999" s="1" t="s">
        <v>354</v>
      </c>
      <c r="C999" s="1" t="str">
        <f t="shared" si="15"/>
        <v>Quebec</v>
      </c>
      <c r="D999" s="1" t="s">
        <v>28</v>
      </c>
      <c r="E999" s="5">
        <v>39</v>
      </c>
      <c r="F999" s="1" t="s">
        <v>2164</v>
      </c>
      <c r="G999" s="1" t="s">
        <v>32</v>
      </c>
      <c r="H999" t="s">
        <v>2270</v>
      </c>
      <c r="I999" s="1" t="s">
        <v>17</v>
      </c>
      <c r="J999" s="1" t="s">
        <v>25</v>
      </c>
      <c r="K999" s="1" t="s">
        <v>31</v>
      </c>
      <c r="L999" s="1" t="s">
        <v>91</v>
      </c>
      <c r="M999" s="1" t="s">
        <v>2169</v>
      </c>
      <c r="N999" s="1" t="s">
        <v>60</v>
      </c>
      <c r="O999" s="1" t="s">
        <v>2276</v>
      </c>
    </row>
    <row r="1000" spans="1:15" x14ac:dyDescent="0.25">
      <c r="A1000">
        <v>2331</v>
      </c>
      <c r="B1000" s="1" t="s">
        <v>354</v>
      </c>
      <c r="C1000" s="1" t="str">
        <f t="shared" si="15"/>
        <v>Quebec</v>
      </c>
      <c r="D1000" s="1" t="s">
        <v>28</v>
      </c>
      <c r="E1000" s="5">
        <v>39</v>
      </c>
      <c r="F1000" s="1" t="s">
        <v>32</v>
      </c>
      <c r="G1000" s="1" t="s">
        <v>32</v>
      </c>
      <c r="H1000" t="s">
        <v>2270</v>
      </c>
      <c r="I1000" s="1" t="s">
        <v>17</v>
      </c>
      <c r="J1000" s="1" t="s">
        <v>25</v>
      </c>
      <c r="K1000" s="1" t="s">
        <v>31</v>
      </c>
      <c r="L1000" s="1" t="s">
        <v>91</v>
      </c>
      <c r="M1000" s="1" t="s">
        <v>2170</v>
      </c>
      <c r="N1000" s="1" t="s">
        <v>60</v>
      </c>
      <c r="O1000" s="1" t="s">
        <v>2276</v>
      </c>
    </row>
    <row r="1001" spans="1:15" x14ac:dyDescent="0.25">
      <c r="A1001">
        <v>2332</v>
      </c>
      <c r="B1001" s="1" t="s">
        <v>354</v>
      </c>
      <c r="C1001" s="1" t="str">
        <f t="shared" si="15"/>
        <v>Quebec</v>
      </c>
      <c r="D1001" s="1" t="s">
        <v>28</v>
      </c>
      <c r="E1001" s="5">
        <v>39</v>
      </c>
      <c r="F1001" s="1" t="s">
        <v>32</v>
      </c>
      <c r="G1001" s="1" t="s">
        <v>32</v>
      </c>
      <c r="H1001" t="s">
        <v>2270</v>
      </c>
      <c r="I1001" s="1" t="s">
        <v>17</v>
      </c>
      <c r="J1001" s="1" t="s">
        <v>25</v>
      </c>
      <c r="K1001" s="1" t="s">
        <v>31</v>
      </c>
      <c r="L1001" s="1" t="s">
        <v>91</v>
      </c>
      <c r="M1001" s="1" t="s">
        <v>2171</v>
      </c>
      <c r="N1001" s="1" t="s">
        <v>60</v>
      </c>
      <c r="O1001" s="1" t="s">
        <v>2276</v>
      </c>
    </row>
    <row r="1002" spans="1:15" x14ac:dyDescent="0.25">
      <c r="A1002">
        <v>2333</v>
      </c>
      <c r="B1002" s="1" t="s">
        <v>354</v>
      </c>
      <c r="C1002" s="1" t="str">
        <f t="shared" si="15"/>
        <v>Quebec</v>
      </c>
      <c r="D1002" s="1" t="s">
        <v>73</v>
      </c>
      <c r="E1002" s="5">
        <v>43</v>
      </c>
      <c r="F1002" s="1" t="s">
        <v>2160</v>
      </c>
      <c r="G1002" s="1" t="s">
        <v>32</v>
      </c>
      <c r="H1002" t="s">
        <v>2270</v>
      </c>
      <c r="I1002" s="1" t="s">
        <v>17</v>
      </c>
      <c r="J1002" s="1" t="s">
        <v>25</v>
      </c>
      <c r="K1002" s="1" t="s">
        <v>31</v>
      </c>
      <c r="L1002" s="1" t="s">
        <v>32</v>
      </c>
      <c r="M1002" s="1" t="s">
        <v>2172</v>
      </c>
      <c r="N1002" s="1" t="s">
        <v>60</v>
      </c>
      <c r="O1002" s="1" t="s">
        <v>2276</v>
      </c>
    </row>
    <row r="1003" spans="1:15" x14ac:dyDescent="0.25">
      <c r="A1003">
        <v>2334</v>
      </c>
      <c r="B1003" s="1" t="s">
        <v>354</v>
      </c>
      <c r="C1003" s="1" t="str">
        <f t="shared" si="15"/>
        <v>Quebec</v>
      </c>
      <c r="D1003" s="1" t="s">
        <v>28</v>
      </c>
      <c r="E1003" s="5">
        <v>40</v>
      </c>
      <c r="F1003" s="1" t="s">
        <v>2173</v>
      </c>
      <c r="G1003" s="1" t="s">
        <v>32</v>
      </c>
      <c r="H1003" t="s">
        <v>2270</v>
      </c>
      <c r="I1003" s="1" t="s">
        <v>17</v>
      </c>
      <c r="J1003" s="1" t="s">
        <v>25</v>
      </c>
      <c r="K1003" s="1" t="s">
        <v>31</v>
      </c>
      <c r="L1003" s="1" t="s">
        <v>91</v>
      </c>
      <c r="M1003" s="1" t="s">
        <v>2174</v>
      </c>
      <c r="N1003" s="1" t="s">
        <v>22</v>
      </c>
      <c r="O1003" s="1" t="s">
        <v>2276</v>
      </c>
    </row>
    <row r="1004" spans="1:15" x14ac:dyDescent="0.25">
      <c r="A1004">
        <v>2335</v>
      </c>
      <c r="B1004" s="1" t="s">
        <v>354</v>
      </c>
      <c r="C1004" s="1" t="str">
        <f t="shared" si="15"/>
        <v>Quebec</v>
      </c>
      <c r="D1004" s="1" t="s">
        <v>28</v>
      </c>
      <c r="E1004" s="5">
        <v>39</v>
      </c>
      <c r="F1004" s="1" t="s">
        <v>2175</v>
      </c>
      <c r="G1004" s="1" t="s">
        <v>32</v>
      </c>
      <c r="H1004" t="s">
        <v>2270</v>
      </c>
      <c r="I1004" s="1" t="s">
        <v>17</v>
      </c>
      <c r="J1004" s="1" t="s">
        <v>25</v>
      </c>
      <c r="K1004" s="1" t="s">
        <v>31</v>
      </c>
      <c r="L1004" s="1" t="s">
        <v>45</v>
      </c>
      <c r="M1004" s="1" t="s">
        <v>2176</v>
      </c>
      <c r="N1004" s="1" t="s">
        <v>60</v>
      </c>
      <c r="O1004" s="1" t="s">
        <v>2276</v>
      </c>
    </row>
    <row r="1005" spans="1:15" x14ac:dyDescent="0.25">
      <c r="A1005">
        <v>2341</v>
      </c>
      <c r="B1005" s="1" t="s">
        <v>354</v>
      </c>
      <c r="C1005" s="1" t="str">
        <f t="shared" si="15"/>
        <v>Quebec</v>
      </c>
      <c r="D1005" s="1" t="s">
        <v>14</v>
      </c>
      <c r="E1005" s="5">
        <v>75</v>
      </c>
      <c r="F1005" s="1" t="s">
        <v>32</v>
      </c>
      <c r="G1005" s="1" t="s">
        <v>32</v>
      </c>
      <c r="H1005" t="s">
        <v>2270</v>
      </c>
      <c r="I1005" s="1" t="s">
        <v>40</v>
      </c>
      <c r="J1005" s="1" t="s">
        <v>25</v>
      </c>
      <c r="K1005" s="1" t="s">
        <v>31</v>
      </c>
      <c r="L1005" s="1" t="s">
        <v>91</v>
      </c>
      <c r="M1005" s="1" t="s">
        <v>2177</v>
      </c>
      <c r="N1005" s="1" t="s">
        <v>22</v>
      </c>
      <c r="O1005" s="1" t="s">
        <v>2276</v>
      </c>
    </row>
    <row r="1006" spans="1:15" x14ac:dyDescent="0.25">
      <c r="A1006">
        <v>2342</v>
      </c>
      <c r="B1006" s="1" t="s">
        <v>354</v>
      </c>
      <c r="C1006" s="1" t="str">
        <f t="shared" si="15"/>
        <v>Quebec</v>
      </c>
      <c r="D1006" s="1" t="s">
        <v>73</v>
      </c>
      <c r="E1006" s="5">
        <v>50</v>
      </c>
      <c r="F1006" s="1" t="s">
        <v>2178</v>
      </c>
      <c r="G1006" s="1" t="s">
        <v>32</v>
      </c>
      <c r="H1006" t="s">
        <v>2270</v>
      </c>
      <c r="I1006" s="1" t="s">
        <v>40</v>
      </c>
      <c r="J1006" s="1" t="s">
        <v>25</v>
      </c>
      <c r="K1006" s="1" t="s">
        <v>31</v>
      </c>
      <c r="L1006" s="1" t="s">
        <v>45</v>
      </c>
      <c r="M1006" s="1" t="s">
        <v>2179</v>
      </c>
      <c r="N1006" s="1" t="s">
        <v>22</v>
      </c>
      <c r="O1006" s="1" t="s">
        <v>2276</v>
      </c>
    </row>
    <row r="1007" spans="1:15" x14ac:dyDescent="0.25">
      <c r="A1007">
        <v>2343</v>
      </c>
      <c r="B1007" s="1" t="s">
        <v>354</v>
      </c>
      <c r="C1007" s="1" t="str">
        <f t="shared" si="15"/>
        <v>Quebec</v>
      </c>
      <c r="D1007" s="1" t="s">
        <v>73</v>
      </c>
      <c r="E1007" s="5">
        <v>58</v>
      </c>
      <c r="F1007" s="1" t="s">
        <v>222</v>
      </c>
      <c r="G1007" s="1" t="s">
        <v>32</v>
      </c>
      <c r="H1007" t="s">
        <v>2270</v>
      </c>
      <c r="I1007" s="1" t="s">
        <v>40</v>
      </c>
      <c r="J1007" s="1" t="s">
        <v>25</v>
      </c>
      <c r="K1007" s="1" t="s">
        <v>31</v>
      </c>
      <c r="L1007" s="1" t="s">
        <v>45</v>
      </c>
      <c r="M1007" s="1" t="s">
        <v>2180</v>
      </c>
      <c r="N1007" s="1" t="s">
        <v>22</v>
      </c>
      <c r="O1007" s="1" t="s">
        <v>2276</v>
      </c>
    </row>
    <row r="1008" spans="1:15" x14ac:dyDescent="0.25">
      <c r="A1008">
        <v>2344</v>
      </c>
      <c r="B1008" s="1" t="s">
        <v>354</v>
      </c>
      <c r="C1008" s="1" t="str">
        <f t="shared" si="15"/>
        <v>Quebec</v>
      </c>
      <c r="D1008" s="1" t="s">
        <v>73</v>
      </c>
      <c r="E1008" s="5">
        <v>56</v>
      </c>
      <c r="F1008" s="1" t="s">
        <v>32</v>
      </c>
      <c r="G1008" s="1" t="s">
        <v>2181</v>
      </c>
      <c r="H1008" t="s">
        <v>2270</v>
      </c>
      <c r="I1008" s="1" t="s">
        <v>43</v>
      </c>
      <c r="J1008" s="1" t="s">
        <v>25</v>
      </c>
      <c r="K1008" s="1" t="s">
        <v>31</v>
      </c>
      <c r="L1008" s="1" t="s">
        <v>32</v>
      </c>
      <c r="M1008" s="1" t="s">
        <v>2182</v>
      </c>
      <c r="N1008" s="1" t="s">
        <v>22</v>
      </c>
      <c r="O1008" s="1" t="s">
        <v>2276</v>
      </c>
    </row>
    <row r="1009" spans="1:15" x14ac:dyDescent="0.25">
      <c r="A1009">
        <v>2345</v>
      </c>
      <c r="B1009" s="1" t="s">
        <v>354</v>
      </c>
      <c r="C1009" s="1" t="str">
        <f t="shared" si="15"/>
        <v>Quebec</v>
      </c>
      <c r="D1009" s="1" t="s">
        <v>28</v>
      </c>
      <c r="E1009" s="5">
        <v>42</v>
      </c>
      <c r="F1009" s="1" t="s">
        <v>2183</v>
      </c>
      <c r="G1009" s="1" t="s">
        <v>32</v>
      </c>
      <c r="H1009" t="s">
        <v>2270</v>
      </c>
      <c r="I1009" s="1" t="s">
        <v>24</v>
      </c>
      <c r="J1009" s="1" t="s">
        <v>25</v>
      </c>
      <c r="K1009" s="1" t="s">
        <v>31</v>
      </c>
      <c r="L1009" s="1" t="s">
        <v>32</v>
      </c>
      <c r="M1009" s="1" t="s">
        <v>2184</v>
      </c>
      <c r="N1009" s="1" t="s">
        <v>22</v>
      </c>
      <c r="O1009" s="1" t="s">
        <v>2276</v>
      </c>
    </row>
    <row r="1010" spans="1:15" x14ac:dyDescent="0.25">
      <c r="A1010">
        <v>2346</v>
      </c>
      <c r="B1010" s="1" t="s">
        <v>354</v>
      </c>
      <c r="C1010" s="1" t="str">
        <f t="shared" si="15"/>
        <v>Quebec</v>
      </c>
      <c r="D1010" s="1" t="s">
        <v>14</v>
      </c>
      <c r="E1010" s="5">
        <v>45</v>
      </c>
      <c r="F1010" s="1" t="s">
        <v>32</v>
      </c>
      <c r="G1010" s="1" t="s">
        <v>32</v>
      </c>
      <c r="H1010" t="s">
        <v>2270</v>
      </c>
      <c r="I1010" s="1" t="s">
        <v>24</v>
      </c>
      <c r="J1010" s="1" t="s">
        <v>25</v>
      </c>
      <c r="K1010" s="1" t="s">
        <v>107</v>
      </c>
      <c r="L1010" s="1" t="s">
        <v>32</v>
      </c>
      <c r="M1010" s="1" t="s">
        <v>2185</v>
      </c>
      <c r="N1010" s="1" t="s">
        <v>60</v>
      </c>
      <c r="O1010" s="1" t="s">
        <v>2276</v>
      </c>
    </row>
    <row r="1011" spans="1:15" x14ac:dyDescent="0.25">
      <c r="A1011">
        <v>2347</v>
      </c>
      <c r="B1011" s="1" t="s">
        <v>354</v>
      </c>
      <c r="C1011" s="1" t="str">
        <f t="shared" si="15"/>
        <v>Quebec</v>
      </c>
      <c r="D1011" s="1" t="s">
        <v>73</v>
      </c>
      <c r="E1011" s="5">
        <v>50</v>
      </c>
      <c r="F1011" s="1" t="s">
        <v>2186</v>
      </c>
      <c r="G1011" s="1" t="s">
        <v>32</v>
      </c>
      <c r="H1011" t="s">
        <v>2270</v>
      </c>
      <c r="I1011" s="1" t="s">
        <v>32</v>
      </c>
      <c r="J1011" s="1" t="s">
        <v>18</v>
      </c>
      <c r="K1011" s="1" t="s">
        <v>31</v>
      </c>
      <c r="L1011" s="1" t="s">
        <v>32</v>
      </c>
      <c r="M1011" s="1" t="s">
        <v>2187</v>
      </c>
      <c r="N1011" s="1" t="s">
        <v>60</v>
      </c>
      <c r="O1011" s="1" t="s">
        <v>2276</v>
      </c>
    </row>
    <row r="1012" spans="1:15" x14ac:dyDescent="0.25">
      <c r="A1012">
        <v>2348</v>
      </c>
      <c r="B1012" s="1" t="s">
        <v>354</v>
      </c>
      <c r="C1012" s="1" t="str">
        <f t="shared" si="15"/>
        <v>Quebec</v>
      </c>
      <c r="D1012" s="1" t="s">
        <v>73</v>
      </c>
      <c r="E1012" s="5">
        <v>40</v>
      </c>
      <c r="F1012" s="1" t="s">
        <v>2188</v>
      </c>
      <c r="G1012" s="1" t="s">
        <v>32</v>
      </c>
      <c r="H1012" t="s">
        <v>2270</v>
      </c>
      <c r="I1012" s="1" t="s">
        <v>32</v>
      </c>
      <c r="J1012" s="1" t="s">
        <v>18</v>
      </c>
      <c r="K1012" s="1" t="s">
        <v>31</v>
      </c>
      <c r="L1012" s="1" t="s">
        <v>32</v>
      </c>
      <c r="M1012" s="1" t="s">
        <v>2189</v>
      </c>
      <c r="N1012" s="1" t="s">
        <v>22</v>
      </c>
      <c r="O1012" s="1" t="s">
        <v>2276</v>
      </c>
    </row>
    <row r="1013" spans="1:15" x14ac:dyDescent="0.25">
      <c r="A1013">
        <v>2349</v>
      </c>
      <c r="B1013" s="1" t="s">
        <v>354</v>
      </c>
      <c r="C1013" s="1" t="str">
        <f t="shared" si="15"/>
        <v>Quebec</v>
      </c>
      <c r="D1013" s="1" t="s">
        <v>73</v>
      </c>
      <c r="E1013" s="5">
        <v>50</v>
      </c>
      <c r="F1013" s="1" t="s">
        <v>2190</v>
      </c>
      <c r="G1013" s="1" t="s">
        <v>32</v>
      </c>
      <c r="H1013" t="s">
        <v>2270</v>
      </c>
      <c r="I1013" s="1" t="s">
        <v>24</v>
      </c>
      <c r="J1013" s="1" t="s">
        <v>25</v>
      </c>
      <c r="K1013" s="1" t="s">
        <v>31</v>
      </c>
      <c r="L1013" s="1" t="s">
        <v>20</v>
      </c>
      <c r="M1013" s="1" t="s">
        <v>2191</v>
      </c>
      <c r="N1013" s="1" t="s">
        <v>22</v>
      </c>
      <c r="O1013" s="1" t="s">
        <v>2276</v>
      </c>
    </row>
    <row r="1014" spans="1:15" x14ac:dyDescent="0.25">
      <c r="A1014">
        <v>2351</v>
      </c>
      <c r="B1014" s="1" t="s">
        <v>354</v>
      </c>
      <c r="C1014" s="1" t="str">
        <f t="shared" si="15"/>
        <v>Quebec</v>
      </c>
      <c r="D1014" s="1" t="s">
        <v>28</v>
      </c>
      <c r="E1014" s="5">
        <v>55</v>
      </c>
      <c r="F1014" s="1" t="s">
        <v>32</v>
      </c>
      <c r="G1014" s="1" t="s">
        <v>32</v>
      </c>
      <c r="H1014" t="s">
        <v>2270</v>
      </c>
      <c r="I1014" s="1" t="s">
        <v>24</v>
      </c>
      <c r="J1014" s="1" t="s">
        <v>25</v>
      </c>
      <c r="K1014" s="1" t="s">
        <v>31</v>
      </c>
      <c r="L1014" s="1" t="s">
        <v>91</v>
      </c>
      <c r="M1014" s="1" t="s">
        <v>2192</v>
      </c>
      <c r="N1014" s="1" t="s">
        <v>22</v>
      </c>
      <c r="O1014" s="1" t="s">
        <v>2276</v>
      </c>
    </row>
    <row r="1015" spans="1:15" x14ac:dyDescent="0.25">
      <c r="A1015">
        <v>2352</v>
      </c>
      <c r="B1015" s="1" t="s">
        <v>354</v>
      </c>
      <c r="C1015" s="1" t="str">
        <f t="shared" si="15"/>
        <v>Quebec</v>
      </c>
      <c r="D1015" s="1" t="s">
        <v>14</v>
      </c>
      <c r="E1015" s="5">
        <v>46</v>
      </c>
      <c r="F1015" s="1" t="s">
        <v>2193</v>
      </c>
      <c r="G1015" s="1" t="s">
        <v>32</v>
      </c>
      <c r="H1015" t="s">
        <v>2270</v>
      </c>
      <c r="I1015" s="1" t="s">
        <v>24</v>
      </c>
      <c r="J1015" s="1" t="s">
        <v>25</v>
      </c>
      <c r="K1015" s="1" t="s">
        <v>31</v>
      </c>
      <c r="L1015" s="1" t="s">
        <v>32</v>
      </c>
      <c r="M1015" s="1" t="s">
        <v>2194</v>
      </c>
      <c r="N1015" s="1" t="s">
        <v>22</v>
      </c>
      <c r="O1015" s="1" t="s">
        <v>2276</v>
      </c>
    </row>
    <row r="1016" spans="1:15" x14ac:dyDescent="0.25">
      <c r="A1016">
        <v>2354</v>
      </c>
      <c r="B1016" s="1" t="s">
        <v>354</v>
      </c>
      <c r="C1016" s="1" t="str">
        <f t="shared" si="15"/>
        <v>Quebec</v>
      </c>
      <c r="D1016" s="1" t="s">
        <v>14</v>
      </c>
      <c r="E1016" s="5">
        <v>41</v>
      </c>
      <c r="F1016" s="1" t="s">
        <v>2195</v>
      </c>
      <c r="G1016" s="1" t="s">
        <v>32</v>
      </c>
      <c r="H1016" t="s">
        <v>2270</v>
      </c>
      <c r="I1016" s="1" t="s">
        <v>17</v>
      </c>
      <c r="J1016" s="1" t="s">
        <v>25</v>
      </c>
      <c r="K1016" s="1" t="s">
        <v>31</v>
      </c>
      <c r="L1016" s="1" t="s">
        <v>32</v>
      </c>
      <c r="M1016" s="1" t="s">
        <v>2196</v>
      </c>
      <c r="N1016" s="1" t="s">
        <v>22</v>
      </c>
      <c r="O1016" s="1" t="s">
        <v>2276</v>
      </c>
    </row>
    <row r="1017" spans="1:15" x14ac:dyDescent="0.25">
      <c r="A1017">
        <v>2355</v>
      </c>
      <c r="B1017" s="1" t="s">
        <v>354</v>
      </c>
      <c r="C1017" s="1" t="str">
        <f t="shared" si="15"/>
        <v>Quebec</v>
      </c>
      <c r="D1017" s="1" t="s">
        <v>14</v>
      </c>
      <c r="E1017" s="5">
        <v>42</v>
      </c>
      <c r="F1017" s="1" t="s">
        <v>222</v>
      </c>
      <c r="G1017" s="1" t="s">
        <v>32</v>
      </c>
      <c r="H1017" t="s">
        <v>2270</v>
      </c>
      <c r="I1017" s="1" t="s">
        <v>17</v>
      </c>
      <c r="J1017" s="1" t="s">
        <v>25</v>
      </c>
      <c r="K1017" s="1" t="s">
        <v>31</v>
      </c>
      <c r="L1017" s="1" t="s">
        <v>91</v>
      </c>
      <c r="M1017" s="1" t="s">
        <v>2197</v>
      </c>
      <c r="N1017" s="1" t="s">
        <v>22</v>
      </c>
      <c r="O1017" s="1" t="s">
        <v>2276</v>
      </c>
    </row>
    <row r="1018" spans="1:15" x14ac:dyDescent="0.25">
      <c r="A1018">
        <v>2356</v>
      </c>
      <c r="B1018" s="1" t="s">
        <v>354</v>
      </c>
      <c r="C1018" s="1" t="str">
        <f t="shared" si="15"/>
        <v>Quebec</v>
      </c>
      <c r="D1018" s="1" t="s">
        <v>73</v>
      </c>
      <c r="E1018" s="5">
        <v>39</v>
      </c>
      <c r="F1018" s="1" t="s">
        <v>2198</v>
      </c>
      <c r="G1018" s="1" t="s">
        <v>32</v>
      </c>
      <c r="H1018" t="s">
        <v>2270</v>
      </c>
      <c r="I1018" s="1" t="s">
        <v>17</v>
      </c>
      <c r="J1018" s="1" t="s">
        <v>25</v>
      </c>
      <c r="K1018" s="1" t="s">
        <v>107</v>
      </c>
      <c r="L1018" s="1" t="s">
        <v>419</v>
      </c>
      <c r="M1018" s="1" t="s">
        <v>2199</v>
      </c>
      <c r="N1018" s="1" t="s">
        <v>60</v>
      </c>
      <c r="O1018" s="1" t="s">
        <v>2276</v>
      </c>
    </row>
    <row r="1019" spans="1:15" x14ac:dyDescent="0.25">
      <c r="A1019">
        <v>2357</v>
      </c>
      <c r="B1019" s="1" t="s">
        <v>354</v>
      </c>
      <c r="C1019" s="1" t="str">
        <f t="shared" si="15"/>
        <v>Quebec</v>
      </c>
      <c r="D1019" s="1" t="s">
        <v>73</v>
      </c>
      <c r="E1019" s="5">
        <v>40</v>
      </c>
      <c r="F1019" s="1" t="s">
        <v>2200</v>
      </c>
      <c r="G1019" s="1" t="s">
        <v>32</v>
      </c>
      <c r="H1019" t="s">
        <v>2270</v>
      </c>
      <c r="I1019" s="1" t="s">
        <v>24</v>
      </c>
      <c r="J1019" s="1" t="s">
        <v>25</v>
      </c>
      <c r="K1019" s="1" t="s">
        <v>107</v>
      </c>
      <c r="L1019" s="1" t="s">
        <v>32</v>
      </c>
      <c r="M1019" s="1" t="s">
        <v>2201</v>
      </c>
      <c r="N1019" s="1" t="s">
        <v>22</v>
      </c>
      <c r="O1019" s="1" t="s">
        <v>2276</v>
      </c>
    </row>
    <row r="1020" spans="1:15" x14ac:dyDescent="0.25">
      <c r="A1020">
        <v>2358</v>
      </c>
      <c r="B1020" s="1" t="s">
        <v>354</v>
      </c>
      <c r="C1020" s="1" t="str">
        <f t="shared" si="15"/>
        <v>Quebec</v>
      </c>
      <c r="D1020" s="1" t="s">
        <v>73</v>
      </c>
      <c r="E1020" s="5">
        <v>46</v>
      </c>
      <c r="F1020" s="1" t="s">
        <v>2202</v>
      </c>
      <c r="G1020" s="1" t="s">
        <v>32</v>
      </c>
      <c r="H1020" t="s">
        <v>2270</v>
      </c>
      <c r="I1020" s="1" t="s">
        <v>17</v>
      </c>
      <c r="J1020" s="1" t="s">
        <v>25</v>
      </c>
      <c r="K1020" s="1" t="s">
        <v>107</v>
      </c>
      <c r="L1020" s="1" t="s">
        <v>32</v>
      </c>
      <c r="M1020" s="1" t="s">
        <v>2203</v>
      </c>
      <c r="N1020" s="1" t="s">
        <v>22</v>
      </c>
      <c r="O1020" s="1" t="s">
        <v>2276</v>
      </c>
    </row>
    <row r="1021" spans="1:15" x14ac:dyDescent="0.25">
      <c r="A1021">
        <v>2359</v>
      </c>
      <c r="B1021" s="1" t="s">
        <v>354</v>
      </c>
      <c r="C1021" s="1" t="str">
        <f t="shared" si="15"/>
        <v>Quebec</v>
      </c>
      <c r="D1021" s="1" t="s">
        <v>73</v>
      </c>
      <c r="E1021" s="5">
        <v>40</v>
      </c>
      <c r="F1021" s="1" t="s">
        <v>2204</v>
      </c>
      <c r="G1021" s="1" t="s">
        <v>32</v>
      </c>
      <c r="H1021" t="s">
        <v>2270</v>
      </c>
      <c r="I1021" s="1" t="s">
        <v>24</v>
      </c>
      <c r="J1021" s="1" t="s">
        <v>18</v>
      </c>
      <c r="K1021" s="1" t="s">
        <v>19</v>
      </c>
      <c r="L1021" s="1" t="s">
        <v>32</v>
      </c>
      <c r="M1021" s="1" t="s">
        <v>2205</v>
      </c>
      <c r="N1021" s="1" t="s">
        <v>22</v>
      </c>
      <c r="O1021" s="1" t="s">
        <v>2276</v>
      </c>
    </row>
    <row r="1022" spans="1:15" x14ac:dyDescent="0.25">
      <c r="A1022">
        <v>2360</v>
      </c>
      <c r="B1022" s="1" t="s">
        <v>13</v>
      </c>
      <c r="C1022" s="1" t="str">
        <f t="shared" si="15"/>
        <v>New Brunswick</v>
      </c>
      <c r="D1022" s="1" t="s">
        <v>14</v>
      </c>
      <c r="E1022" s="5">
        <v>50</v>
      </c>
      <c r="F1022" s="1" t="s">
        <v>2206</v>
      </c>
      <c r="G1022" s="1" t="s">
        <v>2207</v>
      </c>
      <c r="H1022" t="s">
        <v>2270</v>
      </c>
      <c r="I1022" s="1" t="s">
        <v>40</v>
      </c>
      <c r="J1022" s="1" t="s">
        <v>44</v>
      </c>
      <c r="K1022" s="1" t="s">
        <v>31</v>
      </c>
      <c r="L1022" s="1" t="s">
        <v>32</v>
      </c>
      <c r="M1022" s="1" t="s">
        <v>2208</v>
      </c>
      <c r="N1022" s="1" t="s">
        <v>22</v>
      </c>
      <c r="O1022" s="1" t="s">
        <v>2284</v>
      </c>
    </row>
    <row r="1023" spans="1:15" x14ac:dyDescent="0.25">
      <c r="A1023">
        <v>2361</v>
      </c>
      <c r="B1023" s="1" t="s">
        <v>13</v>
      </c>
      <c r="C1023" s="1" t="str">
        <f t="shared" si="15"/>
        <v>New Brunswick</v>
      </c>
      <c r="D1023" s="1" t="s">
        <v>14</v>
      </c>
      <c r="E1023" s="5">
        <v>50</v>
      </c>
      <c r="F1023" s="1" t="s">
        <v>806</v>
      </c>
      <c r="G1023" s="1" t="s">
        <v>32</v>
      </c>
      <c r="H1023" t="s">
        <v>2270</v>
      </c>
      <c r="I1023" s="1" t="s">
        <v>43</v>
      </c>
      <c r="J1023" s="1" t="s">
        <v>44</v>
      </c>
      <c r="K1023" s="1" t="s">
        <v>31</v>
      </c>
      <c r="L1023" s="1" t="s">
        <v>32</v>
      </c>
      <c r="M1023" s="1" t="s">
        <v>2209</v>
      </c>
      <c r="N1023" s="1" t="s">
        <v>22</v>
      </c>
      <c r="O1023" s="1" t="s">
        <v>2284</v>
      </c>
    </row>
    <row r="1024" spans="1:15" x14ac:dyDescent="0.25">
      <c r="A1024">
        <v>2362</v>
      </c>
      <c r="B1024" s="1" t="s">
        <v>354</v>
      </c>
      <c r="C1024" s="1" t="str">
        <f t="shared" si="15"/>
        <v>Quebec</v>
      </c>
      <c r="D1024" s="1" t="s">
        <v>14</v>
      </c>
      <c r="E1024" s="5">
        <v>68</v>
      </c>
      <c r="F1024" s="1" t="s">
        <v>32</v>
      </c>
      <c r="G1024" s="1" t="s">
        <v>32</v>
      </c>
      <c r="H1024" t="s">
        <v>2270</v>
      </c>
      <c r="I1024" s="1" t="s">
        <v>24</v>
      </c>
      <c r="J1024" s="1" t="s">
        <v>18</v>
      </c>
      <c r="K1024" s="1" t="s">
        <v>32</v>
      </c>
      <c r="L1024" s="1" t="s">
        <v>20</v>
      </c>
      <c r="M1024" s="1" t="s">
        <v>2210</v>
      </c>
      <c r="N1024" s="1" t="s">
        <v>60</v>
      </c>
      <c r="O1024" s="1" t="s">
        <v>2276</v>
      </c>
    </row>
    <row r="1025" spans="1:15" x14ac:dyDescent="0.25">
      <c r="A1025">
        <v>2372</v>
      </c>
      <c r="B1025" s="1" t="s">
        <v>93</v>
      </c>
      <c r="C1025" s="1" t="str">
        <f t="shared" si="15"/>
        <v>Alberta</v>
      </c>
      <c r="D1025" s="1" t="s">
        <v>14</v>
      </c>
      <c r="E1025" s="5">
        <v>55</v>
      </c>
      <c r="F1025" s="1" t="s">
        <v>2211</v>
      </c>
      <c r="G1025" s="1" t="s">
        <v>2212</v>
      </c>
      <c r="H1025" t="s">
        <v>2270</v>
      </c>
      <c r="I1025" s="1" t="s">
        <v>24</v>
      </c>
      <c r="J1025" s="1" t="s">
        <v>44</v>
      </c>
      <c r="K1025" s="1" t="s">
        <v>31</v>
      </c>
      <c r="L1025" s="1" t="s">
        <v>91</v>
      </c>
      <c r="M1025" s="1" t="s">
        <v>2213</v>
      </c>
      <c r="N1025" s="1" t="s">
        <v>22</v>
      </c>
      <c r="O1025" s="1" t="s">
        <v>2282</v>
      </c>
    </row>
    <row r="1026" spans="1:15" x14ac:dyDescent="0.25">
      <c r="A1026">
        <v>2374</v>
      </c>
      <c r="B1026" s="1" t="s">
        <v>354</v>
      </c>
      <c r="C1026" s="1" t="str">
        <f t="shared" ref="C1026:C1043" si="16">IF(B1026="NB","New Brunswick",IF(B1026="AB","Alberta",IF(B1026="BC","British Columbia",IF(B1026="MB","Manitoba",IF(B1026="NL","Newfoundland and Labrador",IF(B1026="NS","Nova Scotia",IF(B1026="ON","Ontario",IF(B1026="PE","Prince Edward Island",IF(B1026="QC","Quebec",IF(B1026="SK","Saskatchewan",""))))))))))</f>
        <v>Quebec</v>
      </c>
      <c r="D1026" s="1" t="s">
        <v>28</v>
      </c>
      <c r="E1026" s="5">
        <v>39</v>
      </c>
      <c r="F1026" s="1" t="s">
        <v>1700</v>
      </c>
      <c r="G1026" s="1" t="s">
        <v>32</v>
      </c>
      <c r="H1026" t="s">
        <v>2271</v>
      </c>
      <c r="I1026" s="1" t="s">
        <v>17</v>
      </c>
      <c r="J1026" s="1" t="s">
        <v>25</v>
      </c>
      <c r="K1026" s="1" t="s">
        <v>107</v>
      </c>
      <c r="L1026" s="1" t="s">
        <v>91</v>
      </c>
      <c r="M1026" s="1" t="s">
        <v>2214</v>
      </c>
      <c r="N1026" s="1" t="s">
        <v>60</v>
      </c>
      <c r="O1026" s="1" t="s">
        <v>2276</v>
      </c>
    </row>
    <row r="1027" spans="1:15" x14ac:dyDescent="0.25">
      <c r="A1027">
        <v>2375</v>
      </c>
      <c r="B1027" s="1" t="s">
        <v>354</v>
      </c>
      <c r="C1027" s="1" t="str">
        <f t="shared" si="16"/>
        <v>Quebec</v>
      </c>
      <c r="D1027" s="1" t="s">
        <v>28</v>
      </c>
      <c r="E1027" s="5">
        <v>43</v>
      </c>
      <c r="F1027" s="1" t="s">
        <v>2215</v>
      </c>
      <c r="G1027" s="1" t="s">
        <v>32</v>
      </c>
      <c r="H1027" t="s">
        <v>2271</v>
      </c>
      <c r="I1027" s="1" t="s">
        <v>17</v>
      </c>
      <c r="J1027" s="1" t="s">
        <v>25</v>
      </c>
      <c r="K1027" s="1" t="s">
        <v>107</v>
      </c>
      <c r="L1027" s="1" t="s">
        <v>91</v>
      </c>
      <c r="M1027" s="1" t="s">
        <v>2216</v>
      </c>
      <c r="N1027" s="1" t="s">
        <v>22</v>
      </c>
      <c r="O1027" s="1" t="s">
        <v>2276</v>
      </c>
    </row>
    <row r="1028" spans="1:15" x14ac:dyDescent="0.25">
      <c r="A1028">
        <v>2376</v>
      </c>
      <c r="B1028" s="1" t="s">
        <v>2217</v>
      </c>
      <c r="C1028" s="1" t="str">
        <f t="shared" si="16"/>
        <v>Saskatchewan</v>
      </c>
      <c r="D1028" s="1" t="s">
        <v>73</v>
      </c>
      <c r="E1028" s="5">
        <v>17</v>
      </c>
      <c r="F1028" s="1" t="s">
        <v>2218</v>
      </c>
      <c r="G1028" s="1" t="s">
        <v>32</v>
      </c>
      <c r="H1028" t="s">
        <v>2270</v>
      </c>
      <c r="I1028" s="1" t="s">
        <v>43</v>
      </c>
      <c r="J1028" s="1" t="s">
        <v>25</v>
      </c>
      <c r="K1028" s="1" t="s">
        <v>31</v>
      </c>
      <c r="L1028" s="1" t="s">
        <v>32</v>
      </c>
      <c r="M1028" s="1" t="s">
        <v>2219</v>
      </c>
      <c r="N1028" s="1" t="s">
        <v>60</v>
      </c>
      <c r="O1028" s="1" t="s">
        <v>2288</v>
      </c>
    </row>
    <row r="1029" spans="1:15" x14ac:dyDescent="0.25">
      <c r="A1029">
        <v>2377</v>
      </c>
      <c r="B1029" s="1" t="s">
        <v>93</v>
      </c>
      <c r="C1029" s="1" t="str">
        <f t="shared" si="16"/>
        <v>Alberta</v>
      </c>
      <c r="D1029" s="1" t="s">
        <v>73</v>
      </c>
      <c r="E1029" s="5">
        <v>31</v>
      </c>
      <c r="F1029" s="1" t="s">
        <v>2220</v>
      </c>
      <c r="G1029" s="1" t="s">
        <v>902</v>
      </c>
      <c r="H1029" t="s">
        <v>2270</v>
      </c>
      <c r="I1029" s="1" t="s">
        <v>17</v>
      </c>
      <c r="J1029" s="1" t="s">
        <v>25</v>
      </c>
      <c r="K1029" s="1" t="s">
        <v>31</v>
      </c>
      <c r="L1029" s="1" t="s">
        <v>91</v>
      </c>
      <c r="M1029" s="1" t="s">
        <v>2221</v>
      </c>
      <c r="N1029" s="1" t="s">
        <v>60</v>
      </c>
      <c r="O1029" s="1" t="s">
        <v>2282</v>
      </c>
    </row>
    <row r="1030" spans="1:15" x14ac:dyDescent="0.25">
      <c r="A1030">
        <v>2378</v>
      </c>
      <c r="B1030" s="1" t="s">
        <v>93</v>
      </c>
      <c r="C1030" s="1" t="str">
        <f t="shared" si="16"/>
        <v>Alberta</v>
      </c>
      <c r="D1030" s="1" t="s">
        <v>73</v>
      </c>
      <c r="E1030" s="5">
        <v>31</v>
      </c>
      <c r="F1030" s="1" t="s">
        <v>2222</v>
      </c>
      <c r="G1030" s="1" t="s">
        <v>902</v>
      </c>
      <c r="H1030" t="s">
        <v>2270</v>
      </c>
      <c r="I1030" s="1" t="s">
        <v>17</v>
      </c>
      <c r="J1030" s="1" t="s">
        <v>25</v>
      </c>
      <c r="K1030" s="1" t="s">
        <v>31</v>
      </c>
      <c r="L1030" s="1" t="s">
        <v>91</v>
      </c>
      <c r="M1030" s="1" t="s">
        <v>2223</v>
      </c>
      <c r="N1030" s="1" t="s">
        <v>60</v>
      </c>
      <c r="O1030" s="1" t="s">
        <v>2282</v>
      </c>
    </row>
    <row r="1031" spans="1:15" x14ac:dyDescent="0.25">
      <c r="A1031">
        <v>2379</v>
      </c>
      <c r="B1031" s="1" t="s">
        <v>93</v>
      </c>
      <c r="C1031" s="1" t="str">
        <f t="shared" si="16"/>
        <v>Alberta</v>
      </c>
      <c r="D1031" s="1" t="s">
        <v>73</v>
      </c>
      <c r="E1031" s="5">
        <v>42</v>
      </c>
      <c r="F1031" s="1" t="s">
        <v>901</v>
      </c>
      <c r="G1031" s="1" t="s">
        <v>2224</v>
      </c>
      <c r="H1031" t="s">
        <v>2270</v>
      </c>
      <c r="I1031" s="1" t="s">
        <v>32</v>
      </c>
      <c r="J1031" s="1" t="s">
        <v>32</v>
      </c>
      <c r="K1031" s="1" t="s">
        <v>32</v>
      </c>
      <c r="L1031" s="1" t="s">
        <v>32</v>
      </c>
      <c r="M1031" s="1" t="s">
        <v>2225</v>
      </c>
      <c r="N1031" s="1" t="s">
        <v>60</v>
      </c>
      <c r="O1031" s="1" t="s">
        <v>2282</v>
      </c>
    </row>
    <row r="1032" spans="1:15" x14ac:dyDescent="0.25">
      <c r="A1032">
        <v>2380</v>
      </c>
      <c r="B1032" s="1" t="s">
        <v>93</v>
      </c>
      <c r="C1032" s="1" t="str">
        <f t="shared" si="16"/>
        <v>Alberta</v>
      </c>
      <c r="D1032" s="1" t="s">
        <v>73</v>
      </c>
      <c r="E1032" s="5">
        <v>40</v>
      </c>
      <c r="F1032" s="1" t="s">
        <v>2226</v>
      </c>
      <c r="G1032" s="1" t="s">
        <v>2224</v>
      </c>
      <c r="H1032" t="s">
        <v>2270</v>
      </c>
      <c r="I1032" s="1" t="s">
        <v>17</v>
      </c>
      <c r="J1032" s="1" t="s">
        <v>25</v>
      </c>
      <c r="K1032" s="1" t="s">
        <v>31</v>
      </c>
      <c r="L1032" s="1" t="s">
        <v>91</v>
      </c>
      <c r="M1032" s="1" t="s">
        <v>2227</v>
      </c>
      <c r="N1032" s="1" t="s">
        <v>60</v>
      </c>
      <c r="O1032" s="1" t="s">
        <v>2282</v>
      </c>
    </row>
    <row r="1033" spans="1:15" x14ac:dyDescent="0.25">
      <c r="A1033">
        <v>2381</v>
      </c>
      <c r="B1033" s="1" t="s">
        <v>13</v>
      </c>
      <c r="C1033" s="1" t="str">
        <f t="shared" si="16"/>
        <v>New Brunswick</v>
      </c>
      <c r="D1033" s="1" t="s">
        <v>14</v>
      </c>
      <c r="E1033" s="5">
        <v>50</v>
      </c>
      <c r="F1033" s="1" t="s">
        <v>32</v>
      </c>
      <c r="G1033" s="1" t="s">
        <v>2228</v>
      </c>
      <c r="H1033" t="s">
        <v>2270</v>
      </c>
      <c r="I1033" s="1" t="s">
        <v>24</v>
      </c>
      <c r="J1033" s="1" t="s">
        <v>44</v>
      </c>
      <c r="K1033" s="1" t="s">
        <v>31</v>
      </c>
      <c r="L1033" s="1" t="s">
        <v>20</v>
      </c>
      <c r="M1033" s="1" t="s">
        <v>2229</v>
      </c>
      <c r="N1033" s="1" t="s">
        <v>22</v>
      </c>
      <c r="O1033" s="1" t="s">
        <v>2284</v>
      </c>
    </row>
    <row r="1034" spans="1:15" x14ac:dyDescent="0.25">
      <c r="A1034">
        <v>2382</v>
      </c>
      <c r="B1034" s="1" t="s">
        <v>13</v>
      </c>
      <c r="C1034" s="1" t="str">
        <f t="shared" si="16"/>
        <v>New Brunswick</v>
      </c>
      <c r="D1034" s="1" t="s">
        <v>14</v>
      </c>
      <c r="E1034" s="5">
        <v>50</v>
      </c>
      <c r="F1034" s="1" t="s">
        <v>32</v>
      </c>
      <c r="G1034" s="1" t="s">
        <v>2230</v>
      </c>
      <c r="H1034" t="s">
        <v>2270</v>
      </c>
      <c r="I1034" s="1" t="s">
        <v>24</v>
      </c>
      <c r="J1034" s="1" t="s">
        <v>44</v>
      </c>
      <c r="K1034" s="1" t="s">
        <v>31</v>
      </c>
      <c r="L1034" s="1" t="s">
        <v>32</v>
      </c>
      <c r="M1034" s="1" t="s">
        <v>2231</v>
      </c>
      <c r="N1034" s="1" t="s">
        <v>22</v>
      </c>
      <c r="O1034" s="1" t="s">
        <v>2284</v>
      </c>
    </row>
    <row r="1035" spans="1:15" x14ac:dyDescent="0.25">
      <c r="A1035">
        <v>2383</v>
      </c>
      <c r="B1035" s="1" t="s">
        <v>13</v>
      </c>
      <c r="C1035" s="1" t="str">
        <f t="shared" si="16"/>
        <v>New Brunswick</v>
      </c>
      <c r="D1035" s="1" t="s">
        <v>14</v>
      </c>
      <c r="E1035" s="5">
        <v>50</v>
      </c>
      <c r="F1035" s="1" t="s">
        <v>2232</v>
      </c>
      <c r="G1035" s="1" t="s">
        <v>2233</v>
      </c>
      <c r="H1035" t="s">
        <v>2270</v>
      </c>
      <c r="I1035" s="1" t="s">
        <v>43</v>
      </c>
      <c r="J1035" s="1" t="s">
        <v>44</v>
      </c>
      <c r="K1035" s="1" t="s">
        <v>31</v>
      </c>
      <c r="L1035" s="1" t="s">
        <v>32</v>
      </c>
      <c r="M1035" s="1" t="s">
        <v>2234</v>
      </c>
      <c r="N1035" s="1" t="s">
        <v>22</v>
      </c>
      <c r="O1035" s="1" t="s">
        <v>2284</v>
      </c>
    </row>
    <row r="1036" spans="1:15" x14ac:dyDescent="0.25">
      <c r="A1036">
        <v>2384</v>
      </c>
      <c r="B1036" s="1" t="s">
        <v>13</v>
      </c>
      <c r="C1036" s="1" t="str">
        <f t="shared" si="16"/>
        <v>New Brunswick</v>
      </c>
      <c r="D1036" s="1" t="s">
        <v>14</v>
      </c>
      <c r="E1036" s="5">
        <v>50</v>
      </c>
      <c r="F1036" s="1" t="s">
        <v>2235</v>
      </c>
      <c r="G1036" s="1" t="s">
        <v>2236</v>
      </c>
      <c r="H1036" t="s">
        <v>2270</v>
      </c>
      <c r="I1036" s="1" t="s">
        <v>43</v>
      </c>
      <c r="J1036" s="1" t="s">
        <v>44</v>
      </c>
      <c r="K1036" s="1" t="s">
        <v>31</v>
      </c>
      <c r="L1036" s="1" t="s">
        <v>32</v>
      </c>
      <c r="M1036" s="1" t="s">
        <v>2237</v>
      </c>
      <c r="N1036" s="1" t="s">
        <v>22</v>
      </c>
      <c r="O1036" s="1" t="s">
        <v>2284</v>
      </c>
    </row>
    <row r="1037" spans="1:15" x14ac:dyDescent="0.25">
      <c r="A1037">
        <v>2385</v>
      </c>
      <c r="B1037" s="1" t="s">
        <v>13</v>
      </c>
      <c r="C1037" s="1" t="str">
        <f t="shared" si="16"/>
        <v>New Brunswick</v>
      </c>
      <c r="D1037" s="1" t="s">
        <v>14</v>
      </c>
      <c r="E1037" s="5">
        <v>50</v>
      </c>
      <c r="F1037" s="1" t="s">
        <v>2238</v>
      </c>
      <c r="G1037" s="1" t="s">
        <v>2239</v>
      </c>
      <c r="H1037" t="s">
        <v>2270</v>
      </c>
      <c r="I1037" s="1" t="s">
        <v>24</v>
      </c>
      <c r="J1037" s="1" t="s">
        <v>44</v>
      </c>
      <c r="K1037" s="1" t="s">
        <v>31</v>
      </c>
      <c r="L1037" s="1" t="s">
        <v>32</v>
      </c>
      <c r="M1037" s="1" t="s">
        <v>2240</v>
      </c>
      <c r="N1037" s="1" t="s">
        <v>22</v>
      </c>
      <c r="O1037" s="1" t="s">
        <v>2284</v>
      </c>
    </row>
    <row r="1038" spans="1:15" x14ac:dyDescent="0.25">
      <c r="A1038">
        <v>2386</v>
      </c>
      <c r="B1038" s="1" t="s">
        <v>13</v>
      </c>
      <c r="C1038" s="1" t="str">
        <f t="shared" si="16"/>
        <v>New Brunswick</v>
      </c>
      <c r="D1038" s="1" t="s">
        <v>14</v>
      </c>
      <c r="E1038" s="5">
        <v>50</v>
      </c>
      <c r="F1038" s="1" t="s">
        <v>2241</v>
      </c>
      <c r="G1038" s="1" t="s">
        <v>2236</v>
      </c>
      <c r="H1038" t="s">
        <v>2270</v>
      </c>
      <c r="I1038" s="1" t="s">
        <v>40</v>
      </c>
      <c r="J1038" s="1" t="s">
        <v>44</v>
      </c>
      <c r="K1038" s="1" t="s">
        <v>31</v>
      </c>
      <c r="L1038" s="1" t="s">
        <v>32</v>
      </c>
      <c r="M1038" s="1" t="s">
        <v>2242</v>
      </c>
      <c r="N1038" s="1" t="s">
        <v>22</v>
      </c>
      <c r="O1038" s="1" t="s">
        <v>2284</v>
      </c>
    </row>
    <row r="1039" spans="1:15" x14ac:dyDescent="0.25">
      <c r="A1039">
        <v>2387</v>
      </c>
      <c r="B1039" s="1" t="s">
        <v>104</v>
      </c>
      <c r="C1039" s="1" t="str">
        <f t="shared" si="16"/>
        <v>Nova Scotia</v>
      </c>
      <c r="D1039" s="1" t="s">
        <v>14</v>
      </c>
      <c r="E1039" s="5">
        <v>37</v>
      </c>
      <c r="F1039" s="1" t="s">
        <v>2243</v>
      </c>
      <c r="G1039" s="1" t="s">
        <v>2244</v>
      </c>
      <c r="H1039" t="s">
        <v>2271</v>
      </c>
      <c r="I1039" s="1" t="s">
        <v>64</v>
      </c>
      <c r="J1039" s="1" t="s">
        <v>25</v>
      </c>
      <c r="K1039" s="1" t="s">
        <v>31</v>
      </c>
      <c r="L1039" s="1" t="s">
        <v>32</v>
      </c>
      <c r="M1039" s="1" t="s">
        <v>2245</v>
      </c>
      <c r="N1039" s="1" t="s">
        <v>60</v>
      </c>
      <c r="O1039" s="1" t="s">
        <v>2286</v>
      </c>
    </row>
    <row r="1040" spans="1:15" x14ac:dyDescent="0.25">
      <c r="A1040">
        <v>2388</v>
      </c>
      <c r="B1040" s="1" t="s">
        <v>93</v>
      </c>
      <c r="C1040" s="1" t="str">
        <f t="shared" si="16"/>
        <v>Alberta</v>
      </c>
      <c r="D1040" s="1" t="s">
        <v>28</v>
      </c>
      <c r="E1040" s="5">
        <v>46</v>
      </c>
      <c r="F1040" s="1" t="s">
        <v>2246</v>
      </c>
      <c r="G1040" s="1" t="s">
        <v>2247</v>
      </c>
      <c r="H1040" t="s">
        <v>2270</v>
      </c>
      <c r="I1040" s="1" t="s">
        <v>40</v>
      </c>
      <c r="J1040" s="1" t="s">
        <v>25</v>
      </c>
      <c r="K1040" s="1" t="s">
        <v>31</v>
      </c>
      <c r="L1040" s="1" t="s">
        <v>32</v>
      </c>
      <c r="M1040" s="1" t="s">
        <v>2248</v>
      </c>
      <c r="N1040" s="1" t="s">
        <v>22</v>
      </c>
      <c r="O1040" s="1" t="s">
        <v>2282</v>
      </c>
    </row>
    <row r="1041" spans="1:15" x14ac:dyDescent="0.25">
      <c r="A1041">
        <v>2389</v>
      </c>
      <c r="B1041" s="1" t="s">
        <v>104</v>
      </c>
      <c r="C1041" s="1" t="str">
        <f t="shared" si="16"/>
        <v>Nova Scotia</v>
      </c>
      <c r="D1041" s="1" t="s">
        <v>73</v>
      </c>
      <c r="E1041" s="5">
        <v>40</v>
      </c>
      <c r="F1041" s="1" t="s">
        <v>2249</v>
      </c>
      <c r="G1041" s="1" t="s">
        <v>32</v>
      </c>
      <c r="H1041" t="s">
        <v>2270</v>
      </c>
      <c r="I1041" s="1" t="s">
        <v>35</v>
      </c>
      <c r="J1041" s="1" t="s">
        <v>18</v>
      </c>
      <c r="K1041" s="1" t="s">
        <v>107</v>
      </c>
      <c r="L1041" s="1" t="s">
        <v>32</v>
      </c>
      <c r="M1041" s="1" t="s">
        <v>2250</v>
      </c>
      <c r="N1041" s="1" t="s">
        <v>60</v>
      </c>
      <c r="O1041" s="1" t="s">
        <v>2286</v>
      </c>
    </row>
    <row r="1042" spans="1:15" x14ac:dyDescent="0.25">
      <c r="A1042">
        <v>2390</v>
      </c>
      <c r="B1042" s="1" t="s">
        <v>104</v>
      </c>
      <c r="C1042" s="1" t="str">
        <f t="shared" si="16"/>
        <v>Nova Scotia</v>
      </c>
      <c r="D1042" s="1" t="s">
        <v>73</v>
      </c>
      <c r="E1042" s="5">
        <v>34</v>
      </c>
      <c r="F1042" s="1" t="s">
        <v>2251</v>
      </c>
      <c r="G1042" s="1" t="s">
        <v>32</v>
      </c>
      <c r="H1042" t="s">
        <v>2270</v>
      </c>
      <c r="I1042" s="1" t="s">
        <v>24</v>
      </c>
      <c r="J1042" s="1" t="s">
        <v>18</v>
      </c>
      <c r="K1042" s="1" t="s">
        <v>107</v>
      </c>
      <c r="L1042" s="1" t="s">
        <v>20</v>
      </c>
      <c r="M1042" s="1" t="s">
        <v>2252</v>
      </c>
      <c r="N1042" s="1" t="s">
        <v>60</v>
      </c>
      <c r="O1042" s="1" t="s">
        <v>2286</v>
      </c>
    </row>
    <row r="1043" spans="1:15" x14ac:dyDescent="0.25">
      <c r="A1043">
        <v>2391</v>
      </c>
      <c r="B1043" s="1" t="s">
        <v>93</v>
      </c>
      <c r="C1043" s="1" t="str">
        <f t="shared" si="16"/>
        <v>Alberta</v>
      </c>
      <c r="D1043" s="1" t="s">
        <v>73</v>
      </c>
      <c r="E1043" s="5">
        <v>31.5</v>
      </c>
      <c r="F1043" s="1" t="s">
        <v>2253</v>
      </c>
      <c r="G1043" s="1" t="s">
        <v>2254</v>
      </c>
      <c r="H1043" t="s">
        <v>2270</v>
      </c>
      <c r="I1043" s="1" t="s">
        <v>40</v>
      </c>
      <c r="J1043" s="1" t="s">
        <v>25</v>
      </c>
      <c r="K1043" s="1" t="s">
        <v>31</v>
      </c>
      <c r="L1043" s="1" t="s">
        <v>91</v>
      </c>
      <c r="M1043" s="1" t="s">
        <v>2255</v>
      </c>
      <c r="N1043" s="1" t="s">
        <v>60</v>
      </c>
      <c r="O1043" s="1" t="s">
        <v>2282</v>
      </c>
    </row>
    <row r="1044" spans="1:15" x14ac:dyDescent="0.25">
      <c r="A1044">
        <f>COUNTBLANK(cheese_data[CheeseId])</f>
        <v>0</v>
      </c>
      <c r="B1044">
        <f>COUNTBLANK(cheese_data[ManufacturerProvCode])</f>
        <v>0</v>
      </c>
      <c r="C1044">
        <f>COUNTBLANK(cheese_data[ManufacturerProvName])</f>
        <v>0</v>
      </c>
      <c r="D1044">
        <f>COUNTBLANK(cheese_data[ManufacturingTypeEn])</f>
        <v>0</v>
      </c>
      <c r="E1044">
        <f>COUNTBLANK(cheese_data[MoisturePercent])</f>
        <v>0</v>
      </c>
      <c r="F1044">
        <f>COUNTBLANK(cheese_data[FlavourEn])</f>
        <v>241</v>
      </c>
      <c r="G1044">
        <f>COUNTBLANK(cheese_data[CharacteristicsEn])</f>
        <v>399</v>
      </c>
      <c r="H1044">
        <f>COUNTBLANK(cheese_data[Organic])</f>
        <v>0</v>
      </c>
      <c r="I1044">
        <f>COUNTBLANK(cheese_data[CategoryTypeEn])</f>
        <v>23</v>
      </c>
      <c r="J1044">
        <f>COUNTBLANK(cheese_data[MilkTypeEn])</f>
        <v>1</v>
      </c>
      <c r="K1044">
        <f>COUNTBLANK(cheese_data[MilkTreatmentTypeEn])</f>
        <v>65</v>
      </c>
      <c r="L1044">
        <f>COUNTBLANK(cheese_data[RindTypeEn])</f>
        <v>321</v>
      </c>
      <c r="M1044">
        <f>COUNTBLANK(cheese_data[CheeseName])</f>
        <v>0</v>
      </c>
      <c r="N1044">
        <f>COUNTBLANK(cheese_data[FatLevel])</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F6AE99-710D-4B4C-9BED-759E736C80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Moisture Percent</vt:lpstr>
      <vt:lpstr>Top 3 Most Milk Used Type</vt:lpstr>
      <vt:lpstr>Top 3 Most Cheese by Province</vt:lpstr>
      <vt:lpstr>Average of Moisture</vt:lpstr>
      <vt:lpstr>Candian Map  By Province</vt:lpstr>
      <vt:lpstr>cheese_data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Chella Kamina</dc:creator>
  <cp:lastModifiedBy>Chella Kamina</cp:lastModifiedBy>
  <dcterms:created xsi:type="dcterms:W3CDTF">2024-11-02T23:36:47Z</dcterms:created>
  <dcterms:modified xsi:type="dcterms:W3CDTF">2024-11-12T01:48:10Z</dcterms:modified>
</cp:coreProperties>
</file>